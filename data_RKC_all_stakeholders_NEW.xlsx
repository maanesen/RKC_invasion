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hhit-my.sharepoint.com/personal/margrethe_aanesen_snf_no/Documents/PICO/"/>
    </mc:Choice>
  </mc:AlternateContent>
  <xr:revisionPtr revIDLastSave="2" documentId="8_{9A79E29A-C647-439D-9D01-9E9CE072C887}" xr6:coauthVersionLast="47" xr6:coauthVersionMax="47" xr10:uidLastSave="{A568DC6B-CDFB-43F2-89F9-D9A00B74FACC}"/>
  <bookViews>
    <workbookView xWindow="-120" yWindow="-120" windowWidth="51840" windowHeight="21120" xr2:uid="{00000000-000D-0000-FFFF-FFFF00000000}"/>
  </bookViews>
  <sheets>
    <sheet name="data" sheetId="1" r:id="rId1"/>
    <sheet name="figures" sheetId="3" r:id="rId2"/>
    <sheet name="Sheet1" sheetId="4" r:id="rId3"/>
    <sheet name="var_code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81" i="1" l="1"/>
  <c r="BB81" i="1"/>
  <c r="BC81" i="1"/>
  <c r="BA72" i="1"/>
  <c r="BB72" i="1"/>
  <c r="BC72" i="1"/>
  <c r="BA54" i="1"/>
  <c r="BB54" i="1"/>
  <c r="BC54" i="1"/>
  <c r="BC98" i="1" l="1"/>
  <c r="BB98" i="1"/>
  <c r="BA98" i="1"/>
  <c r="BC97" i="1"/>
  <c r="BB97" i="1"/>
  <c r="BA97" i="1"/>
  <c r="BC96" i="1"/>
  <c r="BB96" i="1"/>
  <c r="BA96" i="1"/>
  <c r="BC95" i="1"/>
  <c r="BB95" i="1"/>
  <c r="BA95" i="1"/>
  <c r="BC94" i="1"/>
  <c r="BB94" i="1"/>
  <c r="BA94" i="1"/>
  <c r="BC93" i="1"/>
  <c r="BB93" i="1"/>
  <c r="BA93" i="1"/>
  <c r="BC92" i="1"/>
  <c r="BB92" i="1"/>
  <c r="BA92" i="1"/>
  <c r="BC91" i="1"/>
  <c r="BB91" i="1"/>
  <c r="BA91" i="1"/>
  <c r="BC90" i="1"/>
  <c r="BB90" i="1"/>
  <c r="BA90" i="1"/>
  <c r="BC89" i="1"/>
  <c r="BB89" i="1"/>
  <c r="BA89" i="1"/>
  <c r="BC88" i="1"/>
  <c r="BB88" i="1"/>
  <c r="BA88" i="1"/>
  <c r="BC87" i="1"/>
  <c r="BB87" i="1"/>
  <c r="BA87" i="1"/>
  <c r="BC86" i="1"/>
  <c r="BB86" i="1"/>
  <c r="BA86" i="1"/>
  <c r="BC85" i="1"/>
  <c r="BB85" i="1"/>
  <c r="BA85" i="1"/>
  <c r="BC84" i="1"/>
  <c r="BB84" i="1"/>
  <c r="BA84" i="1"/>
  <c r="BC83" i="1"/>
  <c r="BB83" i="1"/>
  <c r="BA83" i="1"/>
  <c r="BC82" i="1"/>
  <c r="BB82" i="1"/>
  <c r="BA82" i="1"/>
  <c r="BC80" i="1"/>
  <c r="BB80" i="1"/>
  <c r="BA80" i="1"/>
  <c r="BC79" i="1"/>
  <c r="BB79" i="1"/>
  <c r="BA79" i="1"/>
  <c r="BC78" i="1"/>
  <c r="BB78" i="1"/>
  <c r="BA78" i="1"/>
  <c r="BC77" i="1"/>
  <c r="BB77" i="1"/>
  <c r="BA77" i="1"/>
  <c r="BC76" i="1"/>
  <c r="BB76" i="1"/>
  <c r="BA76" i="1"/>
  <c r="BC75" i="1"/>
  <c r="BB75" i="1"/>
  <c r="BA75" i="1"/>
  <c r="BC74" i="1"/>
  <c r="BB74" i="1"/>
  <c r="BA74" i="1"/>
  <c r="BC73" i="1"/>
  <c r="BB73" i="1"/>
  <c r="BA73" i="1"/>
  <c r="BC71" i="1"/>
  <c r="BB71" i="1"/>
  <c r="BA71" i="1"/>
  <c r="BC70" i="1"/>
  <c r="BB70" i="1"/>
  <c r="BA70" i="1"/>
  <c r="BC69" i="1"/>
  <c r="BB69" i="1"/>
  <c r="BA69" i="1"/>
  <c r="BC68" i="1"/>
  <c r="BB68" i="1"/>
  <c r="BA68" i="1"/>
  <c r="BC67" i="1"/>
  <c r="BB67" i="1"/>
  <c r="BA67" i="1"/>
  <c r="BC66" i="1"/>
  <c r="BB66" i="1"/>
  <c r="BA66" i="1"/>
  <c r="BC65" i="1"/>
  <c r="BB65" i="1"/>
  <c r="BA65" i="1"/>
  <c r="BC64" i="1"/>
  <c r="BB64" i="1"/>
  <c r="BA64" i="1"/>
  <c r="BC63" i="1"/>
  <c r="BB63" i="1"/>
  <c r="BA63" i="1"/>
  <c r="BC62" i="1"/>
  <c r="BB62" i="1"/>
  <c r="BA62" i="1"/>
  <c r="BC61" i="1"/>
  <c r="BB61" i="1"/>
  <c r="BA61" i="1"/>
  <c r="BC60" i="1"/>
  <c r="BB60" i="1"/>
  <c r="BA60" i="1"/>
  <c r="BC59" i="1"/>
  <c r="BB59" i="1"/>
  <c r="BA59" i="1"/>
  <c r="BC58" i="1"/>
  <c r="BB58" i="1"/>
  <c r="BA58" i="1"/>
  <c r="BC57" i="1"/>
  <c r="BB57" i="1"/>
  <c r="BA57" i="1"/>
  <c r="BC56" i="1"/>
  <c r="BB56" i="1"/>
  <c r="BA56" i="1"/>
  <c r="BC55" i="1"/>
  <c r="BB55" i="1"/>
  <c r="BA55" i="1"/>
  <c r="BC53" i="1"/>
  <c r="BB53" i="1"/>
  <c r="BA53" i="1"/>
  <c r="BC52" i="1"/>
  <c r="BB52" i="1"/>
  <c r="BA52" i="1"/>
  <c r="BC51" i="1"/>
  <c r="BB51" i="1"/>
  <c r="BA51" i="1"/>
  <c r="BC50" i="1"/>
  <c r="BB50" i="1"/>
  <c r="BA50" i="1"/>
  <c r="BC49" i="1"/>
  <c r="BB49" i="1"/>
  <c r="BA49" i="1"/>
  <c r="BC48" i="1"/>
  <c r="BB48" i="1"/>
  <c r="BA48" i="1"/>
  <c r="BC47" i="1"/>
  <c r="BB47" i="1"/>
  <c r="BA47" i="1"/>
  <c r="BC46" i="1"/>
  <c r="BB46" i="1"/>
  <c r="BA46" i="1"/>
  <c r="BC45" i="1"/>
  <c r="BB45" i="1"/>
  <c r="BA45" i="1"/>
  <c r="BC44" i="1"/>
  <c r="BB44" i="1"/>
  <c r="BA44" i="1"/>
  <c r="BC43" i="1"/>
  <c r="BB43" i="1"/>
  <c r="BA43" i="1"/>
  <c r="BC42" i="1"/>
  <c r="BB42" i="1"/>
  <c r="BA42" i="1"/>
  <c r="BC41" i="1"/>
  <c r="BB41" i="1"/>
  <c r="BA41" i="1"/>
  <c r="BC40" i="1"/>
  <c r="BB40" i="1"/>
  <c r="BA40" i="1"/>
  <c r="BC39" i="1"/>
  <c r="BB39" i="1"/>
  <c r="BA39" i="1"/>
  <c r="BC38" i="1"/>
  <c r="BB38" i="1"/>
  <c r="BA38" i="1"/>
  <c r="BC37" i="1"/>
  <c r="BB37" i="1"/>
  <c r="BA37" i="1"/>
  <c r="BC36" i="1"/>
  <c r="BB36" i="1"/>
  <c r="BA36" i="1"/>
  <c r="BC35" i="1"/>
  <c r="BB35" i="1"/>
  <c r="BA35" i="1"/>
  <c r="BC34" i="1"/>
  <c r="BB34" i="1"/>
  <c r="BA34" i="1"/>
  <c r="BC33" i="1"/>
  <c r="BB33" i="1"/>
  <c r="BA33" i="1"/>
  <c r="BC32" i="1"/>
  <c r="BB32" i="1"/>
  <c r="BA32" i="1"/>
  <c r="BC31" i="1"/>
  <c r="BB31" i="1"/>
  <c r="BA31" i="1"/>
  <c r="BC30" i="1"/>
  <c r="BB30" i="1"/>
  <c r="BA30" i="1"/>
  <c r="BC29" i="1"/>
  <c r="BB29" i="1"/>
  <c r="BA29" i="1"/>
  <c r="BC28" i="1"/>
  <c r="BB28" i="1"/>
  <c r="BA28" i="1"/>
  <c r="BC27" i="1"/>
  <c r="BB27" i="1"/>
  <c r="BA27" i="1"/>
  <c r="BC26" i="1"/>
  <c r="BB26" i="1"/>
  <c r="BA26" i="1"/>
  <c r="BC25" i="1"/>
  <c r="BB25" i="1"/>
  <c r="BA25" i="1"/>
  <c r="BC24" i="1"/>
  <c r="BB24" i="1"/>
  <c r="BA24" i="1"/>
  <c r="BC23" i="1"/>
  <c r="BB23" i="1"/>
  <c r="BA23" i="1"/>
  <c r="BC22" i="1"/>
  <c r="BB22" i="1"/>
  <c r="BA22" i="1"/>
  <c r="BC21" i="1"/>
  <c r="BB21" i="1"/>
  <c r="BA21" i="1"/>
  <c r="BC20" i="1"/>
  <c r="BB20" i="1"/>
  <c r="BA20" i="1"/>
  <c r="BC19" i="1"/>
  <c r="BB19" i="1"/>
  <c r="BA19" i="1"/>
  <c r="BC18" i="1"/>
  <c r="BB18" i="1"/>
  <c r="BA18" i="1"/>
  <c r="BC17" i="1"/>
  <c r="BB17" i="1"/>
  <c r="BA17" i="1"/>
  <c r="BC16" i="1"/>
  <c r="BB16" i="1"/>
  <c r="BA16" i="1"/>
  <c r="BC15" i="1"/>
  <c r="BB15" i="1"/>
  <c r="BA15" i="1"/>
  <c r="BC14" i="1"/>
  <c r="BB14" i="1"/>
  <c r="BA14" i="1"/>
  <c r="BC13" i="1"/>
  <c r="BB13" i="1"/>
  <c r="BA13" i="1"/>
  <c r="BC12" i="1"/>
  <c r="BB12" i="1"/>
  <c r="BA12" i="1"/>
  <c r="BC11" i="1"/>
  <c r="BB11" i="1"/>
  <c r="BA11" i="1"/>
  <c r="BC10" i="1"/>
  <c r="BB10" i="1"/>
  <c r="BA10" i="1"/>
  <c r="BC9" i="1"/>
  <c r="BB9" i="1"/>
  <c r="BA9" i="1"/>
  <c r="BC8" i="1"/>
  <c r="BB8" i="1"/>
  <c r="BA8" i="1"/>
  <c r="BC7" i="1"/>
  <c r="BB7" i="1"/>
  <c r="BA7" i="1"/>
  <c r="BC6" i="1"/>
  <c r="BB6" i="1"/>
  <c r="BA6" i="1"/>
  <c r="BC5" i="1"/>
  <c r="BB5" i="1"/>
  <c r="BA5" i="1"/>
  <c r="BC4" i="1"/>
  <c r="BB4" i="1"/>
  <c r="BA4" i="1"/>
  <c r="BC3" i="1"/>
  <c r="BB3" i="1"/>
  <c r="BA3" i="1"/>
  <c r="BC2" i="1"/>
  <c r="BB2" i="1"/>
  <c r="BA2" i="1"/>
  <c r="D9" i="4" l="1"/>
  <c r="D8" i="4"/>
  <c r="D7" i="4"/>
  <c r="D6" i="4"/>
  <c r="D5" i="4"/>
  <c r="C10" i="4"/>
  <c r="B10" i="4"/>
  <c r="H5" i="4" l="1"/>
  <c r="L5" i="4" s="1"/>
  <c r="H9" i="4"/>
  <c r="L9" i="4" s="1"/>
  <c r="D10" i="4"/>
  <c r="Z167" i="3"/>
  <c r="Y167" i="3"/>
  <c r="W167" i="3"/>
  <c r="Y166" i="3"/>
  <c r="Z165" i="3"/>
  <c r="Y165" i="3"/>
  <c r="W165" i="3"/>
  <c r="Y164" i="3"/>
  <c r="Z163" i="3"/>
  <c r="Y163" i="3"/>
  <c r="W163" i="3"/>
  <c r="Y162" i="3"/>
  <c r="Z161" i="3"/>
  <c r="Y161" i="3"/>
  <c r="W161" i="3"/>
  <c r="Y160" i="3"/>
  <c r="V167" i="3"/>
  <c r="V166" i="3"/>
  <c r="V164" i="3"/>
  <c r="V162" i="3"/>
  <c r="V156" i="3"/>
  <c r="Z156" i="3"/>
  <c r="Y156" i="3"/>
  <c r="X156" i="3"/>
  <c r="W156" i="3"/>
  <c r="Z142" i="3"/>
  <c r="Y142" i="3"/>
  <c r="X142" i="3"/>
  <c r="W142" i="3"/>
  <c r="V142" i="3"/>
  <c r="Z113" i="3"/>
  <c r="Y113" i="3"/>
  <c r="X113" i="3"/>
  <c r="W113" i="3"/>
  <c r="V113" i="3"/>
  <c r="X167" i="3" s="1"/>
  <c r="Z82" i="3"/>
  <c r="Y82" i="3"/>
  <c r="X82" i="3"/>
  <c r="W82" i="3"/>
  <c r="V82" i="3"/>
  <c r="V160" i="3" l="1"/>
  <c r="W160" i="3"/>
  <c r="W162" i="3"/>
  <c r="W164" i="3"/>
  <c r="W166" i="3"/>
  <c r="I5" i="4"/>
  <c r="M5" i="4" s="1"/>
  <c r="H7" i="4"/>
  <c r="L7" i="4" s="1"/>
  <c r="I6" i="4"/>
  <c r="M6" i="4" s="1"/>
  <c r="R6" i="4" s="1"/>
  <c r="I8" i="4"/>
  <c r="M8" i="4" s="1"/>
  <c r="R8" i="4" s="1"/>
  <c r="I7" i="4"/>
  <c r="M7" i="4" s="1"/>
  <c r="R7" i="4" s="1"/>
  <c r="V161" i="3"/>
  <c r="X160" i="3"/>
  <c r="X162" i="3"/>
  <c r="X164" i="3"/>
  <c r="X166" i="3"/>
  <c r="I9" i="4"/>
  <c r="M9" i="4" s="1"/>
  <c r="R9" i="4" s="1"/>
  <c r="Q9" i="4"/>
  <c r="V163" i="3"/>
  <c r="Z160" i="3"/>
  <c r="Z162" i="3"/>
  <c r="Z164" i="3"/>
  <c r="Z166" i="3"/>
  <c r="H6" i="4"/>
  <c r="L6" i="4" s="1"/>
  <c r="Q5" i="4"/>
  <c r="N5" i="4"/>
  <c r="V165" i="3"/>
  <c r="X161" i="3"/>
  <c r="X163" i="3"/>
  <c r="X165" i="3"/>
  <c r="H8" i="4"/>
  <c r="L8" i="4" s="1"/>
  <c r="I111" i="3"/>
  <c r="H111" i="3"/>
  <c r="G111" i="3"/>
  <c r="F111" i="3"/>
  <c r="E111" i="3"/>
  <c r="D111" i="3"/>
  <c r="C111" i="3"/>
  <c r="B111" i="3"/>
  <c r="I94" i="3"/>
  <c r="H94" i="3"/>
  <c r="G94" i="3"/>
  <c r="F94" i="3"/>
  <c r="E94" i="3"/>
  <c r="D94" i="3"/>
  <c r="C94" i="3"/>
  <c r="B94" i="3"/>
  <c r="W60" i="3"/>
  <c r="V60" i="3"/>
  <c r="U60" i="3"/>
  <c r="T60" i="3"/>
  <c r="W36" i="3"/>
  <c r="V36" i="3"/>
  <c r="U36" i="3"/>
  <c r="T36" i="3"/>
  <c r="I81" i="3"/>
  <c r="H81" i="3"/>
  <c r="G81" i="3"/>
  <c r="F81" i="3"/>
  <c r="E81" i="3"/>
  <c r="D81" i="3"/>
  <c r="C81" i="3"/>
  <c r="B81" i="3"/>
  <c r="I46" i="3"/>
  <c r="H46" i="3"/>
  <c r="G46" i="3"/>
  <c r="F46" i="3"/>
  <c r="E46" i="3"/>
  <c r="D46" i="3"/>
  <c r="C46" i="3"/>
  <c r="B46" i="3"/>
  <c r="W68" i="3"/>
  <c r="V68" i="3"/>
  <c r="U68" i="3"/>
  <c r="T68" i="3"/>
  <c r="W8" i="3"/>
  <c r="V8" i="3"/>
  <c r="U8" i="3"/>
  <c r="T8" i="3"/>
  <c r="F16" i="3"/>
  <c r="E16" i="3"/>
  <c r="D16" i="3"/>
  <c r="C16" i="3"/>
  <c r="B16" i="3"/>
  <c r="H7" i="3"/>
  <c r="H6" i="3"/>
  <c r="H5" i="3"/>
  <c r="H4" i="3"/>
  <c r="M10" i="4" l="1"/>
  <c r="R5" i="4"/>
  <c r="R10" i="4" s="1"/>
  <c r="Q8" i="4"/>
  <c r="N8" i="4"/>
  <c r="N7" i="4"/>
  <c r="Q7" i="4"/>
  <c r="H121" i="3"/>
  <c r="G120" i="3"/>
  <c r="F119" i="3"/>
  <c r="E118" i="3"/>
  <c r="D117" i="3"/>
  <c r="C116" i="3"/>
  <c r="I114" i="3"/>
  <c r="B120" i="3"/>
  <c r="G121" i="3"/>
  <c r="F120" i="3"/>
  <c r="E119" i="3"/>
  <c r="D118" i="3"/>
  <c r="C117" i="3"/>
  <c r="I115" i="3"/>
  <c r="H114" i="3"/>
  <c r="B119" i="3"/>
  <c r="I121" i="3"/>
  <c r="C115" i="3"/>
  <c r="E117" i="3"/>
  <c r="F121" i="3"/>
  <c r="E120" i="3"/>
  <c r="D119" i="3"/>
  <c r="C118" i="3"/>
  <c r="I116" i="3"/>
  <c r="H115" i="3"/>
  <c r="G114" i="3"/>
  <c r="B118" i="3"/>
  <c r="E121" i="3"/>
  <c r="D120" i="3"/>
  <c r="C119" i="3"/>
  <c r="I117" i="3"/>
  <c r="H116" i="3"/>
  <c r="G115" i="3"/>
  <c r="F114" i="3"/>
  <c r="B117" i="3"/>
  <c r="H120" i="3"/>
  <c r="D116" i="3"/>
  <c r="B121" i="3"/>
  <c r="D121" i="3"/>
  <c r="C120" i="3"/>
  <c r="I118" i="3"/>
  <c r="H117" i="3"/>
  <c r="G116" i="3"/>
  <c r="F115" i="3"/>
  <c r="E114" i="3"/>
  <c r="B116" i="3"/>
  <c r="B114" i="3"/>
  <c r="H119" i="3"/>
  <c r="G118" i="3"/>
  <c r="F117" i="3"/>
  <c r="E116" i="3"/>
  <c r="D115" i="3"/>
  <c r="F118" i="3"/>
  <c r="C121" i="3"/>
  <c r="I119" i="3"/>
  <c r="H118" i="3"/>
  <c r="G117" i="3"/>
  <c r="F116" i="3"/>
  <c r="E115" i="3"/>
  <c r="D114" i="3"/>
  <c r="B115" i="3"/>
  <c r="I120" i="3"/>
  <c r="C114" i="3"/>
  <c r="G119" i="3"/>
  <c r="Q6" i="4"/>
  <c r="Q10" i="4" s="1"/>
  <c r="S10" i="4" s="1"/>
  <c r="N6" i="4"/>
  <c r="L10" i="4"/>
  <c r="N9" i="4"/>
  <c r="G131" i="3"/>
  <c r="F130" i="3"/>
  <c r="E129" i="3"/>
  <c r="D128" i="3"/>
  <c r="C127" i="3"/>
  <c r="I125" i="3"/>
  <c r="H124" i="3"/>
  <c r="B129" i="3"/>
  <c r="F131" i="3"/>
  <c r="E130" i="3"/>
  <c r="D129" i="3"/>
  <c r="C128" i="3"/>
  <c r="I126" i="3"/>
  <c r="H125" i="3"/>
  <c r="G124" i="3"/>
  <c r="B128" i="3"/>
  <c r="I128" i="3"/>
  <c r="G126" i="3"/>
  <c r="E124" i="3"/>
  <c r="H131" i="3"/>
  <c r="E128" i="3"/>
  <c r="I124" i="3"/>
  <c r="B126" i="3"/>
  <c r="B130" i="3"/>
  <c r="E131" i="3"/>
  <c r="D130" i="3"/>
  <c r="C129" i="3"/>
  <c r="I127" i="3"/>
  <c r="H126" i="3"/>
  <c r="G125" i="3"/>
  <c r="F124" i="3"/>
  <c r="B127" i="3"/>
  <c r="D131" i="3"/>
  <c r="C130" i="3"/>
  <c r="H127" i="3"/>
  <c r="F125" i="3"/>
  <c r="F129" i="3"/>
  <c r="C126" i="3"/>
  <c r="C131" i="3"/>
  <c r="I129" i="3"/>
  <c r="H128" i="3"/>
  <c r="G127" i="3"/>
  <c r="F126" i="3"/>
  <c r="E125" i="3"/>
  <c r="D124" i="3"/>
  <c r="B125" i="3"/>
  <c r="G128" i="3"/>
  <c r="C124" i="3"/>
  <c r="I131" i="3"/>
  <c r="G129" i="3"/>
  <c r="E127" i="3"/>
  <c r="D126" i="3"/>
  <c r="B131" i="3"/>
  <c r="G130" i="3"/>
  <c r="I130" i="3"/>
  <c r="H129" i="3"/>
  <c r="F127" i="3"/>
  <c r="E126" i="3"/>
  <c r="D125" i="3"/>
  <c r="B124" i="3"/>
  <c r="H130" i="3"/>
  <c r="F128" i="3"/>
  <c r="C125" i="3"/>
  <c r="D127" i="3"/>
  <c r="H3" i="3"/>
  <c r="A17" i="1" l="1"/>
  <c r="A18" i="1" s="1"/>
  <c r="A19" i="1" s="1"/>
  <c r="A20" i="1" s="1"/>
  <c r="A21" i="1" s="1"/>
  <c r="A22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4" i="1" s="1"/>
  <c r="A75" i="1" s="1"/>
  <c r="A76" i="1" s="1"/>
  <c r="A77" i="1" s="1"/>
  <c r="A78" i="1" s="1"/>
  <c r="A79" i="1" s="1"/>
  <c r="A80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</calcChain>
</file>

<file path=xl/sharedStrings.xml><?xml version="1.0" encoding="utf-8"?>
<sst xmlns="http://schemas.openxmlformats.org/spreadsheetml/2006/main" count="318" uniqueCount="123">
  <si>
    <t>RespondentID</t>
  </si>
  <si>
    <t>forsker</t>
  </si>
  <si>
    <t>fisker</t>
  </si>
  <si>
    <t>reiseliv</t>
  </si>
  <si>
    <t>forvaltning</t>
  </si>
  <si>
    <t>fritidsfiske</t>
  </si>
  <si>
    <t>spiser</t>
  </si>
  <si>
    <t>nei</t>
  </si>
  <si>
    <t>vet_ikke</t>
  </si>
  <si>
    <t>ikke_svar</t>
  </si>
  <si>
    <t>ekspert</t>
  </si>
  <si>
    <t>kunnskapsrik</t>
  </si>
  <si>
    <t>biologi</t>
  </si>
  <si>
    <t>fiskeriene</t>
  </si>
  <si>
    <t>marked</t>
  </si>
  <si>
    <t>omradeA</t>
  </si>
  <si>
    <t>omradeB</t>
  </si>
  <si>
    <t>omradeC</t>
  </si>
  <si>
    <t>omradeD</t>
  </si>
  <si>
    <t>seabed</t>
  </si>
  <si>
    <t>cod</t>
  </si>
  <si>
    <t>haddock</t>
  </si>
  <si>
    <t>flounder</t>
  </si>
  <si>
    <t>capelin</t>
  </si>
  <si>
    <t>seaurch</t>
  </si>
  <si>
    <t>cleanerfish</t>
  </si>
  <si>
    <t>oxygen</t>
  </si>
  <si>
    <t>wolffish</t>
  </si>
  <si>
    <t>kelp</t>
  </si>
  <si>
    <t>fisheries</t>
  </si>
  <si>
    <t>tourism</t>
  </si>
  <si>
    <t>recreation</t>
  </si>
  <si>
    <t>NEP1</t>
  </si>
  <si>
    <t>NEP2</t>
  </si>
  <si>
    <t>NEP3</t>
  </si>
  <si>
    <t>NEP4</t>
  </si>
  <si>
    <t>NEP5</t>
  </si>
  <si>
    <t>NEP6</t>
  </si>
  <si>
    <t>NEP7</t>
  </si>
  <si>
    <t>NEP8</t>
  </si>
  <si>
    <t>NEP9</t>
  </si>
  <si>
    <t>NEP10</t>
  </si>
  <si>
    <t>NEP11</t>
  </si>
  <si>
    <t>NEP12</t>
  </si>
  <si>
    <t>NEP13</t>
  </si>
  <si>
    <t>NEP14</t>
  </si>
  <si>
    <t>NEP15</t>
  </si>
  <si>
    <t>annet_YRKE</t>
  </si>
  <si>
    <t>annet_INT</t>
  </si>
  <si>
    <t>orig_no</t>
  </si>
  <si>
    <t>stakeholder</t>
  </si>
  <si>
    <t>liten (0-25%)</t>
  </si>
  <si>
    <t>veldig stor</t>
  </si>
  <si>
    <t>moderat (26-50%)</t>
  </si>
  <si>
    <t>stor</t>
  </si>
  <si>
    <t>noe kunnskap</t>
  </si>
  <si>
    <t>stor (51-75%)</t>
  </si>
  <si>
    <t>moderat</t>
  </si>
  <si>
    <t>litt kunnskap</t>
  </si>
  <si>
    <t>veldig stor (76-100%)</t>
  </si>
  <si>
    <t>liten</t>
  </si>
  <si>
    <t>ingen kunnskap</t>
  </si>
  <si>
    <t>vet ikke</t>
  </si>
  <si>
    <t>veldig liten</t>
  </si>
  <si>
    <t>ingen</t>
  </si>
  <si>
    <t>tror det er motsatt</t>
  </si>
  <si>
    <t>befolkningen</t>
  </si>
  <si>
    <t>fiskere</t>
  </si>
  <si>
    <t>forskere</t>
  </si>
  <si>
    <t>Q2-kunnskap</t>
  </si>
  <si>
    <t>Q4-sannsynlighet_migrasjon</t>
  </si>
  <si>
    <t>Q6c-risiko</t>
  </si>
  <si>
    <t>Q7c-mulighet</t>
  </si>
  <si>
    <t>NA</t>
  </si>
  <si>
    <t xml:space="preserve">vet ikke </t>
  </si>
  <si>
    <t>biology</t>
  </si>
  <si>
    <t>expert</t>
  </si>
  <si>
    <t>knowlegdable</t>
  </si>
  <si>
    <t>some knowl</t>
  </si>
  <si>
    <t>little knowl</t>
  </si>
  <si>
    <t>no knowl</t>
  </si>
  <si>
    <t>sum</t>
  </si>
  <si>
    <t>ecosystem</t>
  </si>
  <si>
    <t>management</t>
  </si>
  <si>
    <t>expert&amp;knowl</t>
  </si>
  <si>
    <t>little&amp;no knowl</t>
  </si>
  <si>
    <t>fisheries &amp; tourism</t>
  </si>
  <si>
    <t>area A</t>
  </si>
  <si>
    <t>small</t>
  </si>
  <si>
    <t>moderate</t>
  </si>
  <si>
    <t>large</t>
  </si>
  <si>
    <t>v.large</t>
  </si>
  <si>
    <t>dn't know</t>
  </si>
  <si>
    <t>area B</t>
  </si>
  <si>
    <t>area C</t>
  </si>
  <si>
    <t>area D</t>
  </si>
  <si>
    <t>ALL</t>
  </si>
  <si>
    <t>FORSKERE</t>
  </si>
  <si>
    <t>FISKERE</t>
  </si>
  <si>
    <t>THE GENERAL PUBLIC</t>
  </si>
  <si>
    <t>lumpsucker</t>
  </si>
  <si>
    <t>seaurchin</t>
  </si>
  <si>
    <t>very large</t>
  </si>
  <si>
    <t>very small</t>
  </si>
  <si>
    <t>none</t>
  </si>
  <si>
    <t>reverse</t>
  </si>
  <si>
    <t>ALL RESPONDENTS</t>
  </si>
  <si>
    <t>don't know/NA</t>
  </si>
  <si>
    <t>RESEARCHERS</t>
  </si>
  <si>
    <t>SUM</t>
  </si>
  <si>
    <t>FISHERS</t>
  </si>
  <si>
    <t>PUBLIC</t>
  </si>
  <si>
    <t>observed numbers</t>
  </si>
  <si>
    <t>researchers</t>
  </si>
  <si>
    <t>public</t>
  </si>
  <si>
    <t xml:space="preserve">contingency table </t>
  </si>
  <si>
    <t>expected frequencies</t>
  </si>
  <si>
    <t>test-stat</t>
  </si>
  <si>
    <t>okosystem</t>
  </si>
  <si>
    <t>forsker_dum</t>
  </si>
  <si>
    <t>fisker_dum</t>
  </si>
  <si>
    <t>public_dum</t>
  </si>
  <si>
    <t>muni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</si>
</sst>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figures!$A$10</c:f>
              <c:strCache>
                <c:ptCount val="1"/>
                <c:pt idx="0">
                  <c:v>expert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figures!$B$9:$F$9</c:f>
              <c:strCache>
                <c:ptCount val="5"/>
                <c:pt idx="0">
                  <c:v>biology</c:v>
                </c:pt>
                <c:pt idx="1">
                  <c:v>ecosystem</c:v>
                </c:pt>
                <c:pt idx="2">
                  <c:v>fisheries &amp; tourism</c:v>
                </c:pt>
                <c:pt idx="3">
                  <c:v>marked</c:v>
                </c:pt>
                <c:pt idx="4">
                  <c:v>management</c:v>
                </c:pt>
              </c:strCache>
            </c:strRef>
          </c:cat>
          <c:val>
            <c:numRef>
              <c:f>figures!$B$10:$F$10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4-4BDE-9F24-A65FE69E4E45}"/>
            </c:ext>
          </c:extLst>
        </c:ser>
        <c:ser>
          <c:idx val="1"/>
          <c:order val="1"/>
          <c:tx>
            <c:strRef>
              <c:f>figures!$A$11</c:f>
              <c:strCache>
                <c:ptCount val="1"/>
                <c:pt idx="0">
                  <c:v>knowlegdable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figures!$B$9:$F$9</c:f>
              <c:strCache>
                <c:ptCount val="5"/>
                <c:pt idx="0">
                  <c:v>biology</c:v>
                </c:pt>
                <c:pt idx="1">
                  <c:v>ecosystem</c:v>
                </c:pt>
                <c:pt idx="2">
                  <c:v>fisheries &amp; tourism</c:v>
                </c:pt>
                <c:pt idx="3">
                  <c:v>marked</c:v>
                </c:pt>
                <c:pt idx="4">
                  <c:v>management</c:v>
                </c:pt>
              </c:strCache>
            </c:strRef>
          </c:cat>
          <c:val>
            <c:numRef>
              <c:f>figures!$B$11:$F$11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20</c:v>
                </c:pt>
                <c:pt idx="3">
                  <c:v>13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4-4BDE-9F24-A65FE69E4E45}"/>
            </c:ext>
          </c:extLst>
        </c:ser>
        <c:ser>
          <c:idx val="2"/>
          <c:order val="2"/>
          <c:tx>
            <c:strRef>
              <c:f>figures!$A$12</c:f>
              <c:strCache>
                <c:ptCount val="1"/>
                <c:pt idx="0">
                  <c:v>some knowl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figures!$B$9:$F$9</c:f>
              <c:strCache>
                <c:ptCount val="5"/>
                <c:pt idx="0">
                  <c:v>biology</c:v>
                </c:pt>
                <c:pt idx="1">
                  <c:v>ecosystem</c:v>
                </c:pt>
                <c:pt idx="2">
                  <c:v>fisheries &amp; tourism</c:v>
                </c:pt>
                <c:pt idx="3">
                  <c:v>marked</c:v>
                </c:pt>
                <c:pt idx="4">
                  <c:v>management</c:v>
                </c:pt>
              </c:strCache>
            </c:strRef>
          </c:cat>
          <c:val>
            <c:numRef>
              <c:f>figures!$B$12:$F$12</c:f>
              <c:numCache>
                <c:formatCode>General</c:formatCode>
                <c:ptCount val="5"/>
                <c:pt idx="0">
                  <c:v>23</c:v>
                </c:pt>
                <c:pt idx="1">
                  <c:v>35</c:v>
                </c:pt>
                <c:pt idx="2">
                  <c:v>40</c:v>
                </c:pt>
                <c:pt idx="3">
                  <c:v>32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84-4BDE-9F24-A65FE69E4E45}"/>
            </c:ext>
          </c:extLst>
        </c:ser>
        <c:ser>
          <c:idx val="3"/>
          <c:order val="3"/>
          <c:tx>
            <c:strRef>
              <c:f>figures!$A$13</c:f>
              <c:strCache>
                <c:ptCount val="1"/>
                <c:pt idx="0">
                  <c:v>little knowl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figures!$B$9:$F$9</c:f>
              <c:strCache>
                <c:ptCount val="5"/>
                <c:pt idx="0">
                  <c:v>biology</c:v>
                </c:pt>
                <c:pt idx="1">
                  <c:v>ecosystem</c:v>
                </c:pt>
                <c:pt idx="2">
                  <c:v>fisheries &amp; tourism</c:v>
                </c:pt>
                <c:pt idx="3">
                  <c:v>marked</c:v>
                </c:pt>
                <c:pt idx="4">
                  <c:v>management</c:v>
                </c:pt>
              </c:strCache>
            </c:strRef>
          </c:cat>
          <c:val>
            <c:numRef>
              <c:f>figures!$B$13:$F$13</c:f>
              <c:numCache>
                <c:formatCode>General</c:formatCode>
                <c:ptCount val="5"/>
                <c:pt idx="0">
                  <c:v>30</c:v>
                </c:pt>
                <c:pt idx="1">
                  <c:v>27</c:v>
                </c:pt>
                <c:pt idx="2">
                  <c:v>25</c:v>
                </c:pt>
                <c:pt idx="3">
                  <c:v>35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84-4BDE-9F24-A65FE69E4E45}"/>
            </c:ext>
          </c:extLst>
        </c:ser>
        <c:ser>
          <c:idx val="4"/>
          <c:order val="4"/>
          <c:tx>
            <c:strRef>
              <c:f>figures!$A$14</c:f>
              <c:strCache>
                <c:ptCount val="1"/>
                <c:pt idx="0">
                  <c:v>no knowl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figures!$B$9:$F$9</c:f>
              <c:strCache>
                <c:ptCount val="5"/>
                <c:pt idx="0">
                  <c:v>biology</c:v>
                </c:pt>
                <c:pt idx="1">
                  <c:v>ecosystem</c:v>
                </c:pt>
                <c:pt idx="2">
                  <c:v>fisheries &amp; tourism</c:v>
                </c:pt>
                <c:pt idx="3">
                  <c:v>marked</c:v>
                </c:pt>
                <c:pt idx="4">
                  <c:v>management</c:v>
                </c:pt>
              </c:strCache>
            </c:strRef>
          </c:cat>
          <c:val>
            <c:numRef>
              <c:f>figures!$B$14:$F$14</c:f>
              <c:numCache>
                <c:formatCode>General</c:formatCode>
                <c:ptCount val="5"/>
                <c:pt idx="0">
                  <c:v>25</c:v>
                </c:pt>
                <c:pt idx="1">
                  <c:v>16</c:v>
                </c:pt>
                <c:pt idx="2">
                  <c:v>10</c:v>
                </c:pt>
                <c:pt idx="3">
                  <c:v>13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84-4BDE-9F24-A65FE69E4E45}"/>
            </c:ext>
          </c:extLst>
        </c:ser>
        <c:ser>
          <c:idx val="5"/>
          <c:order val="5"/>
          <c:tx>
            <c:strRef>
              <c:f>figures!$A$15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figures!$B$9:$F$9</c:f>
              <c:strCache>
                <c:ptCount val="5"/>
                <c:pt idx="0">
                  <c:v>biology</c:v>
                </c:pt>
                <c:pt idx="1">
                  <c:v>ecosystem</c:v>
                </c:pt>
                <c:pt idx="2">
                  <c:v>fisheries &amp; tourism</c:v>
                </c:pt>
                <c:pt idx="3">
                  <c:v>marked</c:v>
                </c:pt>
                <c:pt idx="4">
                  <c:v>management</c:v>
                </c:pt>
              </c:strCache>
            </c:strRef>
          </c:cat>
          <c:val>
            <c:numRef>
              <c:f>figures!$B$15:$F$15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84-4BDE-9F24-A65FE69E4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476576"/>
        <c:axId val="458476248"/>
      </c:barChart>
      <c:catAx>
        <c:axId val="4584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58476248"/>
        <c:crosses val="autoZero"/>
        <c:auto val="1"/>
        <c:lblAlgn val="ctr"/>
        <c:lblOffset val="100"/>
        <c:noMultiLvlLbl val="0"/>
      </c:catAx>
      <c:valAx>
        <c:axId val="45847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5847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figures!$J$10</c:f>
              <c:strCache>
                <c:ptCount val="1"/>
                <c:pt idx="0">
                  <c:v>expert&amp;knowl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figures!$K$9:$O$9</c:f>
              <c:strCache>
                <c:ptCount val="5"/>
                <c:pt idx="0">
                  <c:v>biology</c:v>
                </c:pt>
                <c:pt idx="1">
                  <c:v>ecosystem</c:v>
                </c:pt>
                <c:pt idx="2">
                  <c:v>fisheries &amp; tourism</c:v>
                </c:pt>
                <c:pt idx="3">
                  <c:v>marked</c:v>
                </c:pt>
                <c:pt idx="4">
                  <c:v>management</c:v>
                </c:pt>
              </c:strCache>
            </c:strRef>
          </c:cat>
          <c:val>
            <c:numRef>
              <c:f>figures!$K$10:$O$10</c:f>
              <c:numCache>
                <c:formatCode>General</c:formatCode>
                <c:ptCount val="5"/>
                <c:pt idx="0">
                  <c:v>17</c:v>
                </c:pt>
                <c:pt idx="1">
                  <c:v>14</c:v>
                </c:pt>
                <c:pt idx="2">
                  <c:v>21</c:v>
                </c:pt>
                <c:pt idx="3">
                  <c:v>15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3-4BD5-869D-7030F77A192F}"/>
            </c:ext>
          </c:extLst>
        </c:ser>
        <c:ser>
          <c:idx val="1"/>
          <c:order val="1"/>
          <c:tx>
            <c:strRef>
              <c:f>figures!$J$11</c:f>
              <c:strCache>
                <c:ptCount val="1"/>
                <c:pt idx="0">
                  <c:v>some knowl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figures!$K$9:$O$9</c:f>
              <c:strCache>
                <c:ptCount val="5"/>
                <c:pt idx="0">
                  <c:v>biology</c:v>
                </c:pt>
                <c:pt idx="1">
                  <c:v>ecosystem</c:v>
                </c:pt>
                <c:pt idx="2">
                  <c:v>fisheries &amp; tourism</c:v>
                </c:pt>
                <c:pt idx="3">
                  <c:v>marked</c:v>
                </c:pt>
                <c:pt idx="4">
                  <c:v>management</c:v>
                </c:pt>
              </c:strCache>
            </c:strRef>
          </c:cat>
          <c:val>
            <c:numRef>
              <c:f>figures!$K$11:$O$11</c:f>
              <c:numCache>
                <c:formatCode>General</c:formatCode>
                <c:ptCount val="5"/>
                <c:pt idx="0">
                  <c:v>23</c:v>
                </c:pt>
                <c:pt idx="1">
                  <c:v>35</c:v>
                </c:pt>
                <c:pt idx="2">
                  <c:v>40</c:v>
                </c:pt>
                <c:pt idx="3">
                  <c:v>32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3-4BD5-869D-7030F77A192F}"/>
            </c:ext>
          </c:extLst>
        </c:ser>
        <c:ser>
          <c:idx val="2"/>
          <c:order val="2"/>
          <c:tx>
            <c:strRef>
              <c:f>figures!$J$12</c:f>
              <c:strCache>
                <c:ptCount val="1"/>
                <c:pt idx="0">
                  <c:v>little&amp;no knowl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figures!$K$9:$O$9</c:f>
              <c:strCache>
                <c:ptCount val="5"/>
                <c:pt idx="0">
                  <c:v>biology</c:v>
                </c:pt>
                <c:pt idx="1">
                  <c:v>ecosystem</c:v>
                </c:pt>
                <c:pt idx="2">
                  <c:v>fisheries &amp; tourism</c:v>
                </c:pt>
                <c:pt idx="3">
                  <c:v>marked</c:v>
                </c:pt>
                <c:pt idx="4">
                  <c:v>management</c:v>
                </c:pt>
              </c:strCache>
            </c:strRef>
          </c:cat>
          <c:val>
            <c:numRef>
              <c:f>figures!$K$12:$O$12</c:f>
              <c:numCache>
                <c:formatCode>General</c:formatCode>
                <c:ptCount val="5"/>
                <c:pt idx="0">
                  <c:v>55</c:v>
                </c:pt>
                <c:pt idx="1">
                  <c:v>43</c:v>
                </c:pt>
                <c:pt idx="2">
                  <c:v>35</c:v>
                </c:pt>
                <c:pt idx="3">
                  <c:v>48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03-4BD5-869D-7030F77A1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840360"/>
        <c:axId val="451841016"/>
      </c:barChart>
      <c:catAx>
        <c:axId val="45184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51841016"/>
        <c:crosses val="autoZero"/>
        <c:auto val="1"/>
        <c:lblAlgn val="ctr"/>
        <c:lblOffset val="100"/>
        <c:noMultiLvlLbl val="0"/>
      </c:catAx>
      <c:valAx>
        <c:axId val="45184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51840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All respondents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figures!$S$3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figures!$T$2:$W$2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figures!$T$3:$W$3</c:f>
              <c:numCache>
                <c:formatCode>General</c:formatCode>
                <c:ptCount val="4"/>
                <c:pt idx="0">
                  <c:v>6</c:v>
                </c:pt>
                <c:pt idx="1">
                  <c:v>11</c:v>
                </c:pt>
                <c:pt idx="2">
                  <c:v>23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4-4213-8A43-54693BF07A08}"/>
            </c:ext>
          </c:extLst>
        </c:ser>
        <c:ser>
          <c:idx val="1"/>
          <c:order val="1"/>
          <c:tx>
            <c:strRef>
              <c:f>figures!$S$4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figures!$T$2:$W$2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figures!$T$4:$W$4</c:f>
              <c:numCache>
                <c:formatCode>General</c:formatCode>
                <c:ptCount val="4"/>
                <c:pt idx="0">
                  <c:v>22</c:v>
                </c:pt>
                <c:pt idx="1">
                  <c:v>28</c:v>
                </c:pt>
                <c:pt idx="2">
                  <c:v>34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04-4213-8A43-54693BF07A08}"/>
            </c:ext>
          </c:extLst>
        </c:ser>
        <c:ser>
          <c:idx val="2"/>
          <c:order val="2"/>
          <c:tx>
            <c:strRef>
              <c:f>figures!$S$5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figures!$T$2:$W$2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figures!$T$5:$W$5</c:f>
              <c:numCache>
                <c:formatCode>General</c:formatCode>
                <c:ptCount val="4"/>
                <c:pt idx="0">
                  <c:v>38</c:v>
                </c:pt>
                <c:pt idx="1">
                  <c:v>36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04-4213-8A43-54693BF07A08}"/>
            </c:ext>
          </c:extLst>
        </c:ser>
        <c:ser>
          <c:idx val="3"/>
          <c:order val="3"/>
          <c:tx>
            <c:strRef>
              <c:f>figures!$S$6</c:f>
              <c:strCache>
                <c:ptCount val="1"/>
                <c:pt idx="0">
                  <c:v>v.large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figures!$T$2:$W$2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figures!$T$6:$W$6</c:f>
              <c:numCache>
                <c:formatCode>General</c:formatCode>
                <c:ptCount val="4"/>
                <c:pt idx="0">
                  <c:v>31</c:v>
                </c:pt>
                <c:pt idx="1">
                  <c:v>17</c:v>
                </c:pt>
                <c:pt idx="2">
                  <c:v>11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04-4213-8A43-54693BF07A08}"/>
            </c:ext>
          </c:extLst>
        </c:ser>
        <c:ser>
          <c:idx val="4"/>
          <c:order val="4"/>
          <c:tx>
            <c:strRef>
              <c:f>figures!$S$7</c:f>
              <c:strCache>
                <c:ptCount val="1"/>
                <c:pt idx="0">
                  <c:v>dn't know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figures!$T$2:$W$2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figures!$T$7:$W$7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04-4213-8A43-54693BF07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142760"/>
        <c:axId val="461143088"/>
      </c:barChart>
      <c:catAx>
        <c:axId val="46114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61143088"/>
        <c:crosses val="autoZero"/>
        <c:auto val="1"/>
        <c:lblAlgn val="ctr"/>
        <c:lblOffset val="100"/>
        <c:noMultiLvlLbl val="0"/>
      </c:catAx>
      <c:valAx>
        <c:axId val="4611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6114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Researchers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figures!$S$31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figures!$T$30:$W$30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figures!$T$31:$W$31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B-4CAF-A584-5572CF8681D1}"/>
            </c:ext>
          </c:extLst>
        </c:ser>
        <c:ser>
          <c:idx val="1"/>
          <c:order val="1"/>
          <c:tx>
            <c:strRef>
              <c:f>figures!$S$32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figures!$T$30:$W$30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figures!$T$32:$W$32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9B-4CAF-A584-5572CF8681D1}"/>
            </c:ext>
          </c:extLst>
        </c:ser>
        <c:ser>
          <c:idx val="2"/>
          <c:order val="2"/>
          <c:tx>
            <c:strRef>
              <c:f>figures!$S$33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figures!$T$30:$W$30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figures!$T$33:$W$33</c:f>
              <c:numCache>
                <c:formatCode>General</c:formatCode>
                <c:ptCount val="4"/>
                <c:pt idx="0">
                  <c:v>8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9B-4CAF-A584-5572CF8681D1}"/>
            </c:ext>
          </c:extLst>
        </c:ser>
        <c:ser>
          <c:idx val="3"/>
          <c:order val="3"/>
          <c:tx>
            <c:strRef>
              <c:f>figures!$S$34</c:f>
              <c:strCache>
                <c:ptCount val="1"/>
                <c:pt idx="0">
                  <c:v>v.large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figures!$T$30:$W$30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figures!$T$34:$W$34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9B-4CAF-A584-5572CF8681D1}"/>
            </c:ext>
          </c:extLst>
        </c:ser>
        <c:ser>
          <c:idx val="4"/>
          <c:order val="4"/>
          <c:tx>
            <c:strRef>
              <c:f>figures!$S$35</c:f>
              <c:strCache>
                <c:ptCount val="1"/>
                <c:pt idx="0">
                  <c:v>dn't know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figures!$T$30:$W$30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figures!$T$35:$W$35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9B-4CAF-A584-5572CF868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316688"/>
        <c:axId val="394318000"/>
      </c:barChart>
      <c:catAx>
        <c:axId val="39431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94318000"/>
        <c:crosses val="autoZero"/>
        <c:auto val="1"/>
        <c:lblAlgn val="ctr"/>
        <c:lblOffset val="100"/>
        <c:noMultiLvlLbl val="0"/>
      </c:catAx>
      <c:valAx>
        <c:axId val="39431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9431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Fishers</a:t>
            </a:r>
          </a:p>
        </c:rich>
      </c:tx>
      <c:layout>
        <c:manualLayout>
          <c:xMode val="edge"/>
          <c:yMode val="edge"/>
          <c:x val="0.40949300087489071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figures!$S$55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figures!$T$54:$W$54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figures!$T$55:$W$55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11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F-499E-B31E-1A1E4B2868A8}"/>
            </c:ext>
          </c:extLst>
        </c:ser>
        <c:ser>
          <c:idx val="1"/>
          <c:order val="1"/>
          <c:tx>
            <c:strRef>
              <c:f>figures!$S$56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figures!$T$54:$W$54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figures!$T$56:$W$56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F-499E-B31E-1A1E4B2868A8}"/>
            </c:ext>
          </c:extLst>
        </c:ser>
        <c:ser>
          <c:idx val="2"/>
          <c:order val="2"/>
          <c:tx>
            <c:strRef>
              <c:f>figures!$S$57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figures!$T$54:$W$54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figures!$T$57:$W$57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F-499E-B31E-1A1E4B2868A8}"/>
            </c:ext>
          </c:extLst>
        </c:ser>
        <c:ser>
          <c:idx val="3"/>
          <c:order val="3"/>
          <c:tx>
            <c:strRef>
              <c:f>figures!$S$58</c:f>
              <c:strCache>
                <c:ptCount val="1"/>
                <c:pt idx="0">
                  <c:v>v.large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figures!$T$54:$W$54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figures!$T$58:$W$58</c:f>
              <c:numCache>
                <c:formatCode>General</c:formatCode>
                <c:ptCount val="4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5F-499E-B31E-1A1E4B2868A8}"/>
            </c:ext>
          </c:extLst>
        </c:ser>
        <c:ser>
          <c:idx val="4"/>
          <c:order val="4"/>
          <c:tx>
            <c:strRef>
              <c:f>figures!$S$59</c:f>
              <c:strCache>
                <c:ptCount val="1"/>
                <c:pt idx="0">
                  <c:v>dn't know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figures!$T$54:$W$54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figures!$T$59:$W$59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5F-499E-B31E-1A1E4B286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343464"/>
        <c:axId val="509346744"/>
      </c:barChart>
      <c:catAx>
        <c:axId val="50934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9346744"/>
        <c:crosses val="autoZero"/>
        <c:auto val="1"/>
        <c:lblAlgn val="ctr"/>
        <c:lblOffset val="100"/>
        <c:noMultiLvlLbl val="0"/>
      </c:catAx>
      <c:valAx>
        <c:axId val="50934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934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The general public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figures!$S$63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figures!$T$62:$W$62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figures!$T$63:$W$63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B-4E78-8C5C-5FE681EC3EB0}"/>
            </c:ext>
          </c:extLst>
        </c:ser>
        <c:ser>
          <c:idx val="1"/>
          <c:order val="1"/>
          <c:tx>
            <c:strRef>
              <c:f>figures!$S$64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figures!$T$62:$W$62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figures!$T$64:$W$64</c:f>
              <c:numCache>
                <c:formatCode>General</c:formatCode>
                <c:ptCount val="4"/>
                <c:pt idx="0">
                  <c:v>16</c:v>
                </c:pt>
                <c:pt idx="1">
                  <c:v>19</c:v>
                </c:pt>
                <c:pt idx="2">
                  <c:v>22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2B-4E78-8C5C-5FE681EC3EB0}"/>
            </c:ext>
          </c:extLst>
        </c:ser>
        <c:ser>
          <c:idx val="2"/>
          <c:order val="2"/>
          <c:tx>
            <c:strRef>
              <c:f>figures!$S$65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figures!$T$62:$W$62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figures!$T$65:$W$65</c:f>
              <c:numCache>
                <c:formatCode>General</c:formatCode>
                <c:ptCount val="4"/>
                <c:pt idx="0">
                  <c:v>22</c:v>
                </c:pt>
                <c:pt idx="1">
                  <c:v>24</c:v>
                </c:pt>
                <c:pt idx="2">
                  <c:v>20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2B-4E78-8C5C-5FE681EC3EB0}"/>
            </c:ext>
          </c:extLst>
        </c:ser>
        <c:ser>
          <c:idx val="3"/>
          <c:order val="3"/>
          <c:tx>
            <c:strRef>
              <c:f>figures!$S$66</c:f>
              <c:strCache>
                <c:ptCount val="1"/>
                <c:pt idx="0">
                  <c:v>v.large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figures!$T$62:$W$62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figures!$T$66:$W$66</c:f>
              <c:numCache>
                <c:formatCode>General</c:formatCode>
                <c:ptCount val="4"/>
                <c:pt idx="0">
                  <c:v>18</c:v>
                </c:pt>
                <c:pt idx="1">
                  <c:v>11</c:v>
                </c:pt>
                <c:pt idx="2">
                  <c:v>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2B-4E78-8C5C-5FE681EC3EB0}"/>
            </c:ext>
          </c:extLst>
        </c:ser>
        <c:ser>
          <c:idx val="4"/>
          <c:order val="4"/>
          <c:tx>
            <c:strRef>
              <c:f>figures!$S$67</c:f>
              <c:strCache>
                <c:ptCount val="1"/>
                <c:pt idx="0">
                  <c:v>dn't know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figures!$T$62:$W$62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figures!$T$67:$W$67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2B-4E78-8C5C-5FE681EC3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812616"/>
        <c:axId val="510814256"/>
      </c:barChart>
      <c:catAx>
        <c:axId val="51081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10814256"/>
        <c:crosses val="autoZero"/>
        <c:auto val="1"/>
        <c:lblAlgn val="ctr"/>
        <c:lblOffset val="100"/>
        <c:noMultiLvlLbl val="0"/>
      </c:catAx>
      <c:valAx>
        <c:axId val="51081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1081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All respondents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figures!$A$37</c:f>
              <c:strCache>
                <c:ptCount val="1"/>
                <c:pt idx="0">
                  <c:v>very large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figures!$B$36:$I$36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figures!$B$37:$I$37</c:f>
              <c:numCache>
                <c:formatCode>General</c:formatCode>
                <c:ptCount val="8"/>
                <c:pt idx="0">
                  <c:v>20</c:v>
                </c:pt>
                <c:pt idx="1">
                  <c:v>8</c:v>
                </c:pt>
                <c:pt idx="2">
                  <c:v>7</c:v>
                </c:pt>
                <c:pt idx="3">
                  <c:v>10</c:v>
                </c:pt>
                <c:pt idx="4">
                  <c:v>5</c:v>
                </c:pt>
                <c:pt idx="5">
                  <c:v>6</c:v>
                </c:pt>
                <c:pt idx="6">
                  <c:v>17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4-4402-A039-9666FEA0C9D0}"/>
            </c:ext>
          </c:extLst>
        </c:ser>
        <c:ser>
          <c:idx val="1"/>
          <c:order val="1"/>
          <c:tx>
            <c:strRef>
              <c:f>figures!$A$38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figures!$B$36:$I$36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figures!$B$38:$I$38</c:f>
              <c:numCache>
                <c:formatCode>General</c:formatCode>
                <c:ptCount val="8"/>
                <c:pt idx="0">
                  <c:v>32</c:v>
                </c:pt>
                <c:pt idx="1">
                  <c:v>27</c:v>
                </c:pt>
                <c:pt idx="2">
                  <c:v>17</c:v>
                </c:pt>
                <c:pt idx="3">
                  <c:v>28</c:v>
                </c:pt>
                <c:pt idx="4">
                  <c:v>17</c:v>
                </c:pt>
                <c:pt idx="5">
                  <c:v>24</c:v>
                </c:pt>
                <c:pt idx="6">
                  <c:v>34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E4-4402-A039-9666FEA0C9D0}"/>
            </c:ext>
          </c:extLst>
        </c:ser>
        <c:ser>
          <c:idx val="2"/>
          <c:order val="2"/>
          <c:tx>
            <c:strRef>
              <c:f>figures!$A$39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figures!$B$36:$I$36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figures!$B$39:$I$39</c:f>
              <c:numCache>
                <c:formatCode>General</c:formatCode>
                <c:ptCount val="8"/>
                <c:pt idx="0">
                  <c:v>30</c:v>
                </c:pt>
                <c:pt idx="1">
                  <c:v>25</c:v>
                </c:pt>
                <c:pt idx="2">
                  <c:v>27</c:v>
                </c:pt>
                <c:pt idx="3">
                  <c:v>26</c:v>
                </c:pt>
                <c:pt idx="4">
                  <c:v>22</c:v>
                </c:pt>
                <c:pt idx="5">
                  <c:v>28</c:v>
                </c:pt>
                <c:pt idx="6">
                  <c:v>29</c:v>
                </c:pt>
                <c:pt idx="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E4-4402-A039-9666FEA0C9D0}"/>
            </c:ext>
          </c:extLst>
        </c:ser>
        <c:ser>
          <c:idx val="3"/>
          <c:order val="3"/>
          <c:tx>
            <c:strRef>
              <c:f>figures!$A$40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figures!$B$36:$I$36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figures!$B$40:$I$40</c:f>
              <c:numCache>
                <c:formatCode>General</c:formatCode>
                <c:ptCount val="8"/>
                <c:pt idx="0">
                  <c:v>9</c:v>
                </c:pt>
                <c:pt idx="1">
                  <c:v>22</c:v>
                </c:pt>
                <c:pt idx="2">
                  <c:v>24</c:v>
                </c:pt>
                <c:pt idx="3">
                  <c:v>15</c:v>
                </c:pt>
                <c:pt idx="4">
                  <c:v>20</c:v>
                </c:pt>
                <c:pt idx="5">
                  <c:v>14</c:v>
                </c:pt>
                <c:pt idx="6">
                  <c:v>5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E4-4402-A039-9666FEA0C9D0}"/>
            </c:ext>
          </c:extLst>
        </c:ser>
        <c:ser>
          <c:idx val="4"/>
          <c:order val="4"/>
          <c:tx>
            <c:strRef>
              <c:f>figures!$A$41</c:f>
              <c:strCache>
                <c:ptCount val="1"/>
                <c:pt idx="0">
                  <c:v>very small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figures!$B$36:$I$36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figures!$B$41:$I$41</c:f>
              <c:numCache>
                <c:formatCode>General</c:formatCode>
                <c:ptCount val="8"/>
                <c:pt idx="0">
                  <c:v>2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11</c:v>
                </c:pt>
                <c:pt idx="5">
                  <c:v>6</c:v>
                </c:pt>
                <c:pt idx="6">
                  <c:v>2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E4-4402-A039-9666FEA0C9D0}"/>
            </c:ext>
          </c:extLst>
        </c:ser>
        <c:ser>
          <c:idx val="5"/>
          <c:order val="5"/>
          <c:tx>
            <c:strRef>
              <c:f>figures!$A$42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figures!$B$36:$I$36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figures!$B$42:$I$42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0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E4-4402-A039-9666FEA0C9D0}"/>
            </c:ext>
          </c:extLst>
        </c:ser>
        <c:ser>
          <c:idx val="6"/>
          <c:order val="6"/>
          <c:tx>
            <c:strRef>
              <c:f>figures!$A$43</c:f>
              <c:strCache>
                <c:ptCount val="1"/>
                <c:pt idx="0">
                  <c:v>reverse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figures!$B$36:$I$36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figures!$B$43:$I$43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E4-4402-A039-9666FEA0C9D0}"/>
            </c:ext>
          </c:extLst>
        </c:ser>
        <c:ser>
          <c:idx val="7"/>
          <c:order val="7"/>
          <c:tx>
            <c:strRef>
              <c:f>figures!$A$44</c:f>
              <c:strCache>
                <c:ptCount val="1"/>
                <c:pt idx="0">
                  <c:v>don't know/NA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figures!$B$36:$I$36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figures!$B$44:$I$44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11</c:v>
                </c:pt>
                <c:pt idx="3">
                  <c:v>9</c:v>
                </c:pt>
                <c:pt idx="4">
                  <c:v>19</c:v>
                </c:pt>
                <c:pt idx="5">
                  <c:v>19</c:v>
                </c:pt>
                <c:pt idx="6">
                  <c:v>9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E4-4402-A039-9666FEA0C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995552"/>
        <c:axId val="517992928"/>
      </c:barChart>
      <c:catAx>
        <c:axId val="51799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17992928"/>
        <c:crosses val="autoZero"/>
        <c:auto val="1"/>
        <c:lblAlgn val="ctr"/>
        <c:lblOffset val="100"/>
        <c:noMultiLvlLbl val="0"/>
      </c:catAx>
      <c:valAx>
        <c:axId val="5179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1799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researchers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5.3914260717410324E-2"/>
          <c:y val="0.18560185185185185"/>
          <c:w val="0.9155301837270341"/>
          <c:h val="0.564127661125692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figures!$A$72</c:f>
              <c:strCache>
                <c:ptCount val="1"/>
                <c:pt idx="0">
                  <c:v>very large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figures!$B$71:$I$71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figures!$B$72:$I$72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B-49FA-AB46-29362EA1172C}"/>
            </c:ext>
          </c:extLst>
        </c:ser>
        <c:ser>
          <c:idx val="1"/>
          <c:order val="1"/>
          <c:tx>
            <c:strRef>
              <c:f>figures!$A$73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figures!$B$71:$I$71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figures!$B$73:$I$73</c:f>
              <c:numCache>
                <c:formatCode>General</c:formatCode>
                <c:ptCount val="8"/>
                <c:pt idx="0">
                  <c:v>7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0B-49FA-AB46-29362EA1172C}"/>
            </c:ext>
          </c:extLst>
        </c:ser>
        <c:ser>
          <c:idx val="2"/>
          <c:order val="2"/>
          <c:tx>
            <c:strRef>
              <c:f>figures!$A$74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figures!$B$71:$I$71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figures!$B$74:$I$74</c:f>
              <c:numCache>
                <c:formatCode>General</c:formatCode>
                <c:ptCount val="8"/>
                <c:pt idx="0">
                  <c:v>6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0B-49FA-AB46-29362EA1172C}"/>
            </c:ext>
          </c:extLst>
        </c:ser>
        <c:ser>
          <c:idx val="3"/>
          <c:order val="3"/>
          <c:tx>
            <c:strRef>
              <c:f>figures!$A$75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figures!$B$71:$I$71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figures!$B$75:$I$75</c:f>
              <c:numCache>
                <c:formatCode>General</c:formatCode>
                <c:ptCount val="8"/>
                <c:pt idx="0">
                  <c:v>1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8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0B-49FA-AB46-29362EA1172C}"/>
            </c:ext>
          </c:extLst>
        </c:ser>
        <c:ser>
          <c:idx val="4"/>
          <c:order val="4"/>
          <c:tx>
            <c:strRef>
              <c:f>figures!$A$76</c:f>
              <c:strCache>
                <c:ptCount val="1"/>
                <c:pt idx="0">
                  <c:v>very small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figures!$B$71:$I$71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figures!$B$76:$I$76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0B-49FA-AB46-29362EA1172C}"/>
            </c:ext>
          </c:extLst>
        </c:ser>
        <c:ser>
          <c:idx val="5"/>
          <c:order val="5"/>
          <c:tx>
            <c:strRef>
              <c:f>figures!$A$77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figures!$B$71:$I$71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figures!$B$77:$I$77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0B-49FA-AB46-29362EA1172C}"/>
            </c:ext>
          </c:extLst>
        </c:ser>
        <c:ser>
          <c:idx val="6"/>
          <c:order val="6"/>
          <c:tx>
            <c:strRef>
              <c:f>figures!$A$78</c:f>
              <c:strCache>
                <c:ptCount val="1"/>
                <c:pt idx="0">
                  <c:v>reverse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figures!$B$71:$I$71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figures!$B$78:$I$78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0B-49FA-AB46-29362EA1172C}"/>
            </c:ext>
          </c:extLst>
        </c:ser>
        <c:ser>
          <c:idx val="7"/>
          <c:order val="7"/>
          <c:tx>
            <c:strRef>
              <c:f>figures!$A$79</c:f>
              <c:strCache>
                <c:ptCount val="1"/>
                <c:pt idx="0">
                  <c:v>don't know/NA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figures!$B$71:$I$71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figures!$B$79:$I$79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0B-49FA-AB46-29362EA11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1864184"/>
        <c:axId val="551863528"/>
      </c:barChart>
      <c:catAx>
        <c:axId val="55186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51863528"/>
        <c:crosses val="autoZero"/>
        <c:auto val="1"/>
        <c:lblAlgn val="ctr"/>
        <c:lblOffset val="100"/>
        <c:noMultiLvlLbl val="0"/>
      </c:catAx>
      <c:valAx>
        <c:axId val="55186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5186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Fishers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8.3247594050743653E-2"/>
          <c:y val="0.16708333333333336"/>
          <c:w val="0.90286351706036749"/>
          <c:h val="0.564127661125692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figures!$A$85</c:f>
              <c:strCache>
                <c:ptCount val="1"/>
                <c:pt idx="0">
                  <c:v>very large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figures!$B$84:$I$84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figures!$B$85:$I$85</c:f>
              <c:numCache>
                <c:formatCode>General</c:formatCode>
                <c:ptCount val="8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6-432D-995C-2828193FD259}"/>
            </c:ext>
          </c:extLst>
        </c:ser>
        <c:ser>
          <c:idx val="1"/>
          <c:order val="1"/>
          <c:tx>
            <c:strRef>
              <c:f>figures!$A$86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figures!$B$84:$I$84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figures!$B$86:$I$86</c:f>
              <c:numCache>
                <c:formatCode>General</c:formatCode>
                <c:ptCount val="8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9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6-432D-995C-2828193FD259}"/>
            </c:ext>
          </c:extLst>
        </c:ser>
        <c:ser>
          <c:idx val="2"/>
          <c:order val="2"/>
          <c:tx>
            <c:strRef>
              <c:f>figures!$A$87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figures!$B$84:$I$84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figures!$B$87:$I$87</c:f>
              <c:numCache>
                <c:formatCode>General</c:formatCode>
                <c:ptCount val="8"/>
                <c:pt idx="0">
                  <c:v>11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7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06-432D-995C-2828193FD259}"/>
            </c:ext>
          </c:extLst>
        </c:ser>
        <c:ser>
          <c:idx val="3"/>
          <c:order val="3"/>
          <c:tx>
            <c:strRef>
              <c:f>figures!$A$88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figures!$B$84:$I$84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figures!$B$88:$I$88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06-432D-995C-2828193FD259}"/>
            </c:ext>
          </c:extLst>
        </c:ser>
        <c:ser>
          <c:idx val="4"/>
          <c:order val="4"/>
          <c:tx>
            <c:strRef>
              <c:f>figures!$A$89</c:f>
              <c:strCache>
                <c:ptCount val="1"/>
                <c:pt idx="0">
                  <c:v>very small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figures!$B$84:$I$84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figures!$B$89:$I$89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06-432D-995C-2828193FD259}"/>
            </c:ext>
          </c:extLst>
        </c:ser>
        <c:ser>
          <c:idx val="5"/>
          <c:order val="5"/>
          <c:tx>
            <c:strRef>
              <c:f>figures!$A$90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figures!$B$84:$I$84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figures!$B$90:$I$90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06-432D-995C-2828193FD259}"/>
            </c:ext>
          </c:extLst>
        </c:ser>
        <c:ser>
          <c:idx val="6"/>
          <c:order val="6"/>
          <c:tx>
            <c:strRef>
              <c:f>figures!$A$91</c:f>
              <c:strCache>
                <c:ptCount val="1"/>
                <c:pt idx="0">
                  <c:v>reverse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figures!$B$84:$I$84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figures!$B$91:$I$91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06-432D-995C-2828193FD259}"/>
            </c:ext>
          </c:extLst>
        </c:ser>
        <c:ser>
          <c:idx val="7"/>
          <c:order val="7"/>
          <c:tx>
            <c:strRef>
              <c:f>figures!$A$92</c:f>
              <c:strCache>
                <c:ptCount val="1"/>
                <c:pt idx="0">
                  <c:v>don't know/NA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figures!$B$84:$I$84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figures!$B$92:$I$92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06-432D-995C-2828193FD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242264"/>
        <c:axId val="449237016"/>
      </c:barChart>
      <c:catAx>
        <c:axId val="449242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49237016"/>
        <c:crosses val="autoZero"/>
        <c:auto val="1"/>
        <c:lblAlgn val="ctr"/>
        <c:lblOffset val="100"/>
        <c:noMultiLvlLbl val="0"/>
      </c:catAx>
      <c:valAx>
        <c:axId val="44923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4924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The</a:t>
            </a:r>
            <a:r>
              <a:rPr lang="nb-NO" baseline="0"/>
              <a:t> general public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7171296296296298"/>
          <c:w val="0.90286351706036749"/>
          <c:h val="0.564127661125692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figures!$A$102</c:f>
              <c:strCache>
                <c:ptCount val="1"/>
                <c:pt idx="0">
                  <c:v>very large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figures!$B$101:$I$101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figures!$B$102:$I$102</c:f>
              <c:numCache>
                <c:formatCode>General</c:formatCode>
                <c:ptCount val="8"/>
                <c:pt idx="0">
                  <c:v>11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4</c:v>
                </c:pt>
                <c:pt idx="5">
                  <c:v>6</c:v>
                </c:pt>
                <c:pt idx="6">
                  <c:v>10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E-4793-AADD-D54F421F7164}"/>
            </c:ext>
          </c:extLst>
        </c:ser>
        <c:ser>
          <c:idx val="1"/>
          <c:order val="1"/>
          <c:tx>
            <c:strRef>
              <c:f>figures!$A$103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figures!$B$101:$I$101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figures!$B$103:$I$103</c:f>
              <c:numCache>
                <c:formatCode>General</c:formatCode>
                <c:ptCount val="8"/>
                <c:pt idx="0">
                  <c:v>21</c:v>
                </c:pt>
                <c:pt idx="1">
                  <c:v>16</c:v>
                </c:pt>
                <c:pt idx="2">
                  <c:v>12</c:v>
                </c:pt>
                <c:pt idx="3">
                  <c:v>17</c:v>
                </c:pt>
                <c:pt idx="4">
                  <c:v>10</c:v>
                </c:pt>
                <c:pt idx="5">
                  <c:v>15</c:v>
                </c:pt>
                <c:pt idx="6">
                  <c:v>18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3E-4793-AADD-D54F421F7164}"/>
            </c:ext>
          </c:extLst>
        </c:ser>
        <c:ser>
          <c:idx val="2"/>
          <c:order val="2"/>
          <c:tx>
            <c:strRef>
              <c:f>figures!$A$104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figures!$B$101:$I$101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figures!$B$104:$I$104</c:f>
              <c:numCache>
                <c:formatCode>General</c:formatCode>
                <c:ptCount val="8"/>
                <c:pt idx="0">
                  <c:v>13</c:v>
                </c:pt>
                <c:pt idx="1">
                  <c:v>17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11</c:v>
                </c:pt>
                <c:pt idx="6">
                  <c:v>16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3E-4793-AADD-D54F421F7164}"/>
            </c:ext>
          </c:extLst>
        </c:ser>
        <c:ser>
          <c:idx val="3"/>
          <c:order val="3"/>
          <c:tx>
            <c:strRef>
              <c:f>figures!$A$105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figures!$B$101:$I$101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figures!$B$105:$I$105</c:f>
              <c:numCache>
                <c:formatCode>General</c:formatCode>
                <c:ptCount val="8"/>
                <c:pt idx="0">
                  <c:v>6</c:v>
                </c:pt>
                <c:pt idx="1">
                  <c:v>11</c:v>
                </c:pt>
                <c:pt idx="2">
                  <c:v>12</c:v>
                </c:pt>
                <c:pt idx="3">
                  <c:v>8</c:v>
                </c:pt>
                <c:pt idx="4">
                  <c:v>9</c:v>
                </c:pt>
                <c:pt idx="5">
                  <c:v>8</c:v>
                </c:pt>
                <c:pt idx="6">
                  <c:v>4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3E-4793-AADD-D54F421F7164}"/>
            </c:ext>
          </c:extLst>
        </c:ser>
        <c:ser>
          <c:idx val="4"/>
          <c:order val="4"/>
          <c:tx>
            <c:strRef>
              <c:f>figures!$A$106</c:f>
              <c:strCache>
                <c:ptCount val="1"/>
                <c:pt idx="0">
                  <c:v>very small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figures!$B$101:$I$101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figures!$B$106:$I$106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3E-4793-AADD-D54F421F7164}"/>
            </c:ext>
          </c:extLst>
        </c:ser>
        <c:ser>
          <c:idx val="5"/>
          <c:order val="5"/>
          <c:tx>
            <c:strRef>
              <c:f>figures!$A$107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figures!$B$101:$I$101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figures!$B$107:$I$107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3E-4793-AADD-D54F421F7164}"/>
            </c:ext>
          </c:extLst>
        </c:ser>
        <c:ser>
          <c:idx val="6"/>
          <c:order val="6"/>
          <c:tx>
            <c:strRef>
              <c:f>figures!$A$108</c:f>
              <c:strCache>
                <c:ptCount val="1"/>
                <c:pt idx="0">
                  <c:v>reverse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figures!$B$101:$I$101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figures!$B$108:$I$108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3E-4793-AADD-D54F421F7164}"/>
            </c:ext>
          </c:extLst>
        </c:ser>
        <c:ser>
          <c:idx val="7"/>
          <c:order val="7"/>
          <c:tx>
            <c:strRef>
              <c:f>figures!$A$109</c:f>
              <c:strCache>
                <c:ptCount val="1"/>
                <c:pt idx="0">
                  <c:v>don't know/NA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figures!$B$101:$I$101</c:f>
              <c:strCache>
                <c:ptCount val="8"/>
                <c:pt idx="0">
                  <c:v>seabed</c:v>
                </c:pt>
                <c:pt idx="1">
                  <c:v>cod</c:v>
                </c:pt>
                <c:pt idx="2">
                  <c:v>haddock</c:v>
                </c:pt>
                <c:pt idx="3">
                  <c:v>flounder</c:v>
                </c:pt>
                <c:pt idx="4">
                  <c:v>capelin</c:v>
                </c:pt>
                <c:pt idx="5">
                  <c:v>lumpsucker</c:v>
                </c:pt>
                <c:pt idx="6">
                  <c:v>seaurchin</c:v>
                </c:pt>
                <c:pt idx="7">
                  <c:v>oxygen</c:v>
                </c:pt>
              </c:strCache>
            </c:strRef>
          </c:cat>
          <c:val>
            <c:numRef>
              <c:f>figures!$B$109:$I$109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8</c:v>
                </c:pt>
                <c:pt idx="3">
                  <c:v>6</c:v>
                </c:pt>
                <c:pt idx="4">
                  <c:v>14</c:v>
                </c:pt>
                <c:pt idx="5">
                  <c:v>13</c:v>
                </c:pt>
                <c:pt idx="6">
                  <c:v>6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33E-4793-AADD-D54F421F7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491344"/>
        <c:axId val="391492000"/>
      </c:barChart>
      <c:catAx>
        <c:axId val="39149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91492000"/>
        <c:crosses val="autoZero"/>
        <c:auto val="1"/>
        <c:lblAlgn val="ctr"/>
        <c:lblOffset val="100"/>
        <c:noMultiLvlLbl val="0"/>
      </c:catAx>
      <c:valAx>
        <c:axId val="39149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9149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All respondents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figures!$U$73</c:f>
              <c:strCache>
                <c:ptCount val="1"/>
                <c:pt idx="0">
                  <c:v>very large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figures!$V$72:$Z$72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figures!$V$73:$Z$73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9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1-446E-8558-017F0C31E9FC}"/>
            </c:ext>
          </c:extLst>
        </c:ser>
        <c:ser>
          <c:idx val="1"/>
          <c:order val="1"/>
          <c:tx>
            <c:strRef>
              <c:f>figures!$U$74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figures!$V$72:$Z$72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figures!$V$74:$Z$74</c:f>
              <c:numCache>
                <c:formatCode>General</c:formatCode>
                <c:ptCount val="5"/>
                <c:pt idx="0">
                  <c:v>2</c:v>
                </c:pt>
                <c:pt idx="1">
                  <c:v>11</c:v>
                </c:pt>
                <c:pt idx="2">
                  <c:v>25</c:v>
                </c:pt>
                <c:pt idx="3">
                  <c:v>27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1-446E-8558-017F0C31E9FC}"/>
            </c:ext>
          </c:extLst>
        </c:ser>
        <c:ser>
          <c:idx val="2"/>
          <c:order val="2"/>
          <c:tx>
            <c:strRef>
              <c:f>figures!$U$75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figures!$V$72:$Z$72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figures!$V$75:$Z$75</c:f>
              <c:numCache>
                <c:formatCode>General</c:formatCode>
                <c:ptCount val="5"/>
                <c:pt idx="0">
                  <c:v>19</c:v>
                </c:pt>
                <c:pt idx="1">
                  <c:v>19</c:v>
                </c:pt>
                <c:pt idx="2">
                  <c:v>39</c:v>
                </c:pt>
                <c:pt idx="3">
                  <c:v>38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D1-446E-8558-017F0C31E9FC}"/>
            </c:ext>
          </c:extLst>
        </c:ser>
        <c:ser>
          <c:idx val="3"/>
          <c:order val="3"/>
          <c:tx>
            <c:strRef>
              <c:f>figures!$U$76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figures!$V$72:$Z$72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figures!$V$76:$Z$76</c:f>
              <c:numCache>
                <c:formatCode>General</c:formatCode>
                <c:ptCount val="5"/>
                <c:pt idx="0">
                  <c:v>31</c:v>
                </c:pt>
                <c:pt idx="1">
                  <c:v>25</c:v>
                </c:pt>
                <c:pt idx="2">
                  <c:v>10</c:v>
                </c:pt>
                <c:pt idx="3">
                  <c:v>13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D1-446E-8558-017F0C31E9FC}"/>
            </c:ext>
          </c:extLst>
        </c:ser>
        <c:ser>
          <c:idx val="4"/>
          <c:order val="4"/>
          <c:tx>
            <c:strRef>
              <c:f>figures!$U$77</c:f>
              <c:strCache>
                <c:ptCount val="1"/>
                <c:pt idx="0">
                  <c:v>very small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figures!$V$72:$Z$72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figures!$V$77:$Z$77</c:f>
              <c:numCache>
                <c:formatCode>General</c:formatCode>
                <c:ptCount val="5"/>
                <c:pt idx="0">
                  <c:v>12</c:v>
                </c:pt>
                <c:pt idx="1">
                  <c:v>8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D1-446E-8558-017F0C31E9FC}"/>
            </c:ext>
          </c:extLst>
        </c:ser>
        <c:ser>
          <c:idx val="5"/>
          <c:order val="5"/>
          <c:tx>
            <c:strRef>
              <c:f>figures!$U$78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figures!$V$72:$Z$72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figures!$V$78:$Z$78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D1-446E-8558-017F0C31E9FC}"/>
            </c:ext>
          </c:extLst>
        </c:ser>
        <c:ser>
          <c:idx val="6"/>
          <c:order val="6"/>
          <c:tx>
            <c:strRef>
              <c:f>figures!$U$79</c:f>
              <c:strCache>
                <c:ptCount val="1"/>
                <c:pt idx="0">
                  <c:v>reverse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figures!$V$72:$Z$72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figures!$V$79:$Z$79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D1-446E-8558-017F0C31E9FC}"/>
            </c:ext>
          </c:extLst>
        </c:ser>
        <c:ser>
          <c:idx val="7"/>
          <c:order val="7"/>
          <c:tx>
            <c:strRef>
              <c:f>figures!$U$80</c:f>
              <c:strCache>
                <c:ptCount val="1"/>
                <c:pt idx="0">
                  <c:v>don't know/NA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figures!$V$72:$Z$72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figures!$V$80:$Z$80</c:f>
              <c:numCache>
                <c:formatCode>General</c:formatCode>
                <c:ptCount val="5"/>
                <c:pt idx="0">
                  <c:v>25</c:v>
                </c:pt>
                <c:pt idx="1">
                  <c:v>22</c:v>
                </c:pt>
                <c:pt idx="2">
                  <c:v>6</c:v>
                </c:pt>
                <c:pt idx="3">
                  <c:v>11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FD1-446E-8558-017F0C31E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795872"/>
        <c:axId val="510798824"/>
      </c:barChart>
      <c:catAx>
        <c:axId val="51079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10798824"/>
        <c:crosses val="autoZero"/>
        <c:auto val="1"/>
        <c:lblAlgn val="ctr"/>
        <c:lblOffset val="100"/>
        <c:noMultiLvlLbl val="0"/>
      </c:catAx>
      <c:valAx>
        <c:axId val="51079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1079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Researchers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figures!$U$104</c:f>
              <c:strCache>
                <c:ptCount val="1"/>
                <c:pt idx="0">
                  <c:v>very large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figures!$V$103:$Z$103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figures!$V$104:$Z$104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A-4B62-8E8D-B49CF3D7C6B9}"/>
            </c:ext>
          </c:extLst>
        </c:ser>
        <c:ser>
          <c:idx val="1"/>
          <c:order val="1"/>
          <c:tx>
            <c:strRef>
              <c:f>figures!$U$105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figures!$V$103:$Z$103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figures!$V$105:$Z$105</c:f>
              <c:numCache>
                <c:formatCode>General</c:formatCode>
                <c:ptCount val="5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DA-4B62-8E8D-B49CF3D7C6B9}"/>
            </c:ext>
          </c:extLst>
        </c:ser>
        <c:ser>
          <c:idx val="2"/>
          <c:order val="2"/>
          <c:tx>
            <c:strRef>
              <c:f>figures!$U$106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figures!$V$103:$Z$103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figures!$V$106:$Z$106</c:f>
              <c:numCache>
                <c:formatCode>General</c:formatCode>
                <c:ptCount val="5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DA-4B62-8E8D-B49CF3D7C6B9}"/>
            </c:ext>
          </c:extLst>
        </c:ser>
        <c:ser>
          <c:idx val="3"/>
          <c:order val="3"/>
          <c:tx>
            <c:strRef>
              <c:f>figures!$U$107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figures!$V$103:$Z$103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figures!$V$107:$Z$107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DA-4B62-8E8D-B49CF3D7C6B9}"/>
            </c:ext>
          </c:extLst>
        </c:ser>
        <c:ser>
          <c:idx val="4"/>
          <c:order val="4"/>
          <c:tx>
            <c:strRef>
              <c:f>figures!$U$108</c:f>
              <c:strCache>
                <c:ptCount val="1"/>
                <c:pt idx="0">
                  <c:v>very small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figures!$V$103:$Z$103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figures!$V$108:$Z$108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DA-4B62-8E8D-B49CF3D7C6B9}"/>
            </c:ext>
          </c:extLst>
        </c:ser>
        <c:ser>
          <c:idx val="5"/>
          <c:order val="5"/>
          <c:tx>
            <c:strRef>
              <c:f>figures!$U$109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figures!$V$103:$Z$103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figures!$V$109:$Z$109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DA-4B62-8E8D-B49CF3D7C6B9}"/>
            </c:ext>
          </c:extLst>
        </c:ser>
        <c:ser>
          <c:idx val="6"/>
          <c:order val="6"/>
          <c:tx>
            <c:strRef>
              <c:f>figures!$U$110</c:f>
              <c:strCache>
                <c:ptCount val="1"/>
                <c:pt idx="0">
                  <c:v>reverse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figures!$V$103:$Z$103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figures!$V$110:$Z$110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DA-4B62-8E8D-B49CF3D7C6B9}"/>
            </c:ext>
          </c:extLst>
        </c:ser>
        <c:ser>
          <c:idx val="7"/>
          <c:order val="7"/>
          <c:tx>
            <c:strRef>
              <c:f>figures!$U$111</c:f>
              <c:strCache>
                <c:ptCount val="1"/>
                <c:pt idx="0">
                  <c:v>don't know/NA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figures!$V$103:$Z$103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figures!$V$111:$Z$111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DA-4B62-8E8D-B49CF3D7C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502528"/>
        <c:axId val="545506136"/>
      </c:barChart>
      <c:catAx>
        <c:axId val="5455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45506136"/>
        <c:crosses val="autoZero"/>
        <c:auto val="1"/>
        <c:lblAlgn val="ctr"/>
        <c:lblOffset val="100"/>
        <c:noMultiLvlLbl val="0"/>
      </c:catAx>
      <c:valAx>
        <c:axId val="54550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4550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Fishers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figures!$U$133</c:f>
              <c:strCache>
                <c:ptCount val="1"/>
                <c:pt idx="0">
                  <c:v>very large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figures!$V$132:$Z$132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figures!$V$133:$Z$133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B-4528-8E2D-8A1CEA75C316}"/>
            </c:ext>
          </c:extLst>
        </c:ser>
        <c:ser>
          <c:idx val="1"/>
          <c:order val="1"/>
          <c:tx>
            <c:strRef>
              <c:f>figures!$U$134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figures!$V$132:$Z$132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figures!$V$134:$Z$134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8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3B-4528-8E2D-8A1CEA75C316}"/>
            </c:ext>
          </c:extLst>
        </c:ser>
        <c:ser>
          <c:idx val="2"/>
          <c:order val="2"/>
          <c:tx>
            <c:strRef>
              <c:f>figures!$U$135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figures!$V$132:$Z$132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figures!$V$135:$Z$135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3B-4528-8E2D-8A1CEA75C316}"/>
            </c:ext>
          </c:extLst>
        </c:ser>
        <c:ser>
          <c:idx val="3"/>
          <c:order val="3"/>
          <c:tx>
            <c:strRef>
              <c:f>figures!$U$136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figures!$V$132:$Z$132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figures!$V$136:$Z$136</c:f>
              <c:numCache>
                <c:formatCode>General</c:formatCode>
                <c:ptCount val="5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3B-4528-8E2D-8A1CEA75C316}"/>
            </c:ext>
          </c:extLst>
        </c:ser>
        <c:ser>
          <c:idx val="4"/>
          <c:order val="4"/>
          <c:tx>
            <c:strRef>
              <c:f>figures!$U$137</c:f>
              <c:strCache>
                <c:ptCount val="1"/>
                <c:pt idx="0">
                  <c:v>very small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figures!$V$132:$Z$132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figures!$V$137:$Z$137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3B-4528-8E2D-8A1CEA75C316}"/>
            </c:ext>
          </c:extLst>
        </c:ser>
        <c:ser>
          <c:idx val="5"/>
          <c:order val="5"/>
          <c:tx>
            <c:strRef>
              <c:f>figures!$U$138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figures!$V$132:$Z$132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figures!$V$138:$Z$138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3B-4528-8E2D-8A1CEA75C316}"/>
            </c:ext>
          </c:extLst>
        </c:ser>
        <c:ser>
          <c:idx val="6"/>
          <c:order val="6"/>
          <c:tx>
            <c:strRef>
              <c:f>figures!$U$139</c:f>
              <c:strCache>
                <c:ptCount val="1"/>
                <c:pt idx="0">
                  <c:v>reverse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figures!$V$132:$Z$132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figures!$V$139:$Z$139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3B-4528-8E2D-8A1CEA75C316}"/>
            </c:ext>
          </c:extLst>
        </c:ser>
        <c:ser>
          <c:idx val="7"/>
          <c:order val="7"/>
          <c:tx>
            <c:strRef>
              <c:f>figures!$U$140</c:f>
              <c:strCache>
                <c:ptCount val="1"/>
                <c:pt idx="0">
                  <c:v>don't know/NA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figures!$V$132:$Z$132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figures!$V$140:$Z$140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3B-4528-8E2D-8A1CEA75C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4566056"/>
        <c:axId val="504566712"/>
      </c:barChart>
      <c:catAx>
        <c:axId val="504566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4566712"/>
        <c:crosses val="autoZero"/>
        <c:auto val="1"/>
        <c:lblAlgn val="ctr"/>
        <c:lblOffset val="100"/>
        <c:noMultiLvlLbl val="0"/>
      </c:catAx>
      <c:valAx>
        <c:axId val="50456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456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The general public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figures!$U$147</c:f>
              <c:strCache>
                <c:ptCount val="1"/>
                <c:pt idx="0">
                  <c:v>very large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figures!$V$146:$Z$146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figures!$V$147:$Z$147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3-4471-9575-7C4E5472990B}"/>
            </c:ext>
          </c:extLst>
        </c:ser>
        <c:ser>
          <c:idx val="1"/>
          <c:order val="1"/>
          <c:tx>
            <c:strRef>
              <c:f>figures!$U$148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figures!$V$146:$Z$146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figures!$V$148:$Z$148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11</c:v>
                </c:pt>
                <c:pt idx="3">
                  <c:v>15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3-4471-9575-7C4E5472990B}"/>
            </c:ext>
          </c:extLst>
        </c:ser>
        <c:ser>
          <c:idx val="2"/>
          <c:order val="2"/>
          <c:tx>
            <c:strRef>
              <c:f>figures!$U$149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figures!$V$146:$Z$146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figures!$V$149:$Z$149</c:f>
              <c:numCache>
                <c:formatCode>General</c:formatCode>
                <c:ptCount val="5"/>
                <c:pt idx="0">
                  <c:v>12</c:v>
                </c:pt>
                <c:pt idx="1">
                  <c:v>10</c:v>
                </c:pt>
                <c:pt idx="2">
                  <c:v>26</c:v>
                </c:pt>
                <c:pt idx="3">
                  <c:v>21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83-4471-9575-7C4E5472990B}"/>
            </c:ext>
          </c:extLst>
        </c:ser>
        <c:ser>
          <c:idx val="3"/>
          <c:order val="3"/>
          <c:tx>
            <c:strRef>
              <c:f>figures!$U$150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figures!$V$146:$Z$146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figures!$V$150:$Z$150</c:f>
              <c:numCache>
                <c:formatCode>General</c:formatCode>
                <c:ptCount val="5"/>
                <c:pt idx="0">
                  <c:v>17</c:v>
                </c:pt>
                <c:pt idx="1">
                  <c:v>17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83-4471-9575-7C4E5472990B}"/>
            </c:ext>
          </c:extLst>
        </c:ser>
        <c:ser>
          <c:idx val="4"/>
          <c:order val="4"/>
          <c:tx>
            <c:strRef>
              <c:f>figures!$U$151</c:f>
              <c:strCache>
                <c:ptCount val="1"/>
                <c:pt idx="0">
                  <c:v>very small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figures!$V$146:$Z$146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figures!$V$151:$Z$151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83-4471-9575-7C4E5472990B}"/>
            </c:ext>
          </c:extLst>
        </c:ser>
        <c:ser>
          <c:idx val="5"/>
          <c:order val="5"/>
          <c:tx>
            <c:strRef>
              <c:f>figures!$U$152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figures!$V$146:$Z$146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figures!$V$152:$Z$152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83-4471-9575-7C4E5472990B}"/>
            </c:ext>
          </c:extLst>
        </c:ser>
        <c:ser>
          <c:idx val="6"/>
          <c:order val="6"/>
          <c:tx>
            <c:strRef>
              <c:f>figures!$U$153</c:f>
              <c:strCache>
                <c:ptCount val="1"/>
                <c:pt idx="0">
                  <c:v>reverse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figures!$V$146:$Z$146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figures!$V$153:$Z$153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83-4471-9575-7C4E5472990B}"/>
            </c:ext>
          </c:extLst>
        </c:ser>
        <c:ser>
          <c:idx val="7"/>
          <c:order val="7"/>
          <c:tx>
            <c:strRef>
              <c:f>figures!$U$154</c:f>
              <c:strCache>
                <c:ptCount val="1"/>
                <c:pt idx="0">
                  <c:v>don't know/NA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figures!$V$146:$Z$146</c:f>
              <c:strCache>
                <c:ptCount val="5"/>
                <c:pt idx="0">
                  <c:v>wolffish</c:v>
                </c:pt>
                <c:pt idx="1">
                  <c:v>kelp</c:v>
                </c:pt>
                <c:pt idx="2">
                  <c:v>fisheries</c:v>
                </c:pt>
                <c:pt idx="3">
                  <c:v>tourism</c:v>
                </c:pt>
                <c:pt idx="4">
                  <c:v>recreation</c:v>
                </c:pt>
              </c:strCache>
            </c:strRef>
          </c:cat>
          <c:val>
            <c:numRef>
              <c:f>figures!$V$154:$Z$154</c:f>
              <c:numCache>
                <c:formatCode>General</c:formatCode>
                <c:ptCount val="5"/>
                <c:pt idx="0">
                  <c:v>16</c:v>
                </c:pt>
                <c:pt idx="1">
                  <c:v>15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83-4471-9575-7C4E54729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213248"/>
        <c:axId val="517213904"/>
      </c:barChart>
      <c:catAx>
        <c:axId val="51721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17213904"/>
        <c:crosses val="autoZero"/>
        <c:auto val="1"/>
        <c:lblAlgn val="ctr"/>
        <c:lblOffset val="100"/>
        <c:noMultiLvlLbl val="0"/>
      </c:catAx>
      <c:valAx>
        <c:axId val="5172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1721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233362</xdr:colOff>
      <xdr:row>17</xdr:row>
      <xdr:rowOff>171450</xdr:rowOff>
    </xdr:from>
    <xdr:to>
      <xdr:col>7</xdr:col>
      <xdr:colOff>347662</xdr:colOff>
      <xdr:row>32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FD51F-B16D-42D1-9110-6281E719F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233362</xdr:colOff>
      <xdr:row>18</xdr:row>
      <xdr:rowOff>9525</xdr:rowOff>
    </xdr:from>
    <xdr:to>
      <xdr:col>15</xdr:col>
      <xdr:colOff>538162</xdr:colOff>
      <xdr:row>32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B34756-A187-4FB3-A659-B417ABE38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585787</xdr:colOff>
      <xdr:row>10</xdr:row>
      <xdr:rowOff>161925</xdr:rowOff>
    </xdr:from>
    <xdr:to>
      <xdr:col>25</xdr:col>
      <xdr:colOff>280987</xdr:colOff>
      <xdr:row>25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B5A6EA-511B-4F9A-8BBC-5EA0F8A8C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576262</xdr:colOff>
      <xdr:row>36</xdr:row>
      <xdr:rowOff>47625</xdr:rowOff>
    </xdr:from>
    <xdr:to>
      <xdr:col>25</xdr:col>
      <xdr:colOff>271462</xdr:colOff>
      <xdr:row>50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1FE1D1-AEF1-4AEC-A1E8-41572E276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547687</xdr:colOff>
      <xdr:row>36</xdr:row>
      <xdr:rowOff>104775</xdr:rowOff>
    </xdr:from>
    <xdr:to>
      <xdr:col>17</xdr:col>
      <xdr:colOff>242887</xdr:colOff>
      <xdr:row>50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712E9D-0F8A-4843-B297-992E44C23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566737</xdr:colOff>
      <xdr:row>53</xdr:row>
      <xdr:rowOff>28575</xdr:rowOff>
    </xdr:from>
    <xdr:to>
      <xdr:col>17</xdr:col>
      <xdr:colOff>261937</xdr:colOff>
      <xdr:row>67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D8AF23-77F0-4747-86AF-CC6899445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166687</xdr:colOff>
      <xdr:row>48</xdr:row>
      <xdr:rowOff>38100</xdr:rowOff>
    </xdr:from>
    <xdr:to>
      <xdr:col>9</xdr:col>
      <xdr:colOff>9525</xdr:colOff>
      <xdr:row>67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70EB6D-3FCC-4452-A5D5-BD01ED86A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585786</xdr:colOff>
      <xdr:row>68</xdr:row>
      <xdr:rowOff>38100</xdr:rowOff>
    </xdr:from>
    <xdr:to>
      <xdr:col>17</xdr:col>
      <xdr:colOff>600075</xdr:colOff>
      <xdr:row>82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D18F4EB-B873-4595-86DC-8A58D948A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4762</xdr:colOff>
      <xdr:row>83</xdr:row>
      <xdr:rowOff>142875</xdr:rowOff>
    </xdr:from>
    <xdr:to>
      <xdr:col>18</xdr:col>
      <xdr:colOff>0</xdr:colOff>
      <xdr:row>98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1864CA-6E74-4BBE-A375-B868D2554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42861</xdr:colOff>
      <xdr:row>98</xdr:row>
      <xdr:rowOff>180975</xdr:rowOff>
    </xdr:from>
    <xdr:to>
      <xdr:col>18</xdr:col>
      <xdr:colOff>66674</xdr:colOff>
      <xdr:row>113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9FFBFA-1F49-43C1-AF63-11D1645D5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595312</xdr:colOff>
      <xdr:row>83</xdr:row>
      <xdr:rowOff>180975</xdr:rowOff>
    </xdr:from>
    <xdr:to>
      <xdr:col>27</xdr:col>
      <xdr:colOff>290512</xdr:colOff>
      <xdr:row>98</xdr:row>
      <xdr:rowOff>66675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B51FA62-8250-48A1-99E5-43B08159A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595312</xdr:colOff>
      <xdr:row>114</xdr:row>
      <xdr:rowOff>19050</xdr:rowOff>
    </xdr:from>
    <xdr:to>
      <xdr:col>28</xdr:col>
      <xdr:colOff>76200</xdr:colOff>
      <xdr:row>128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30552F0-9911-435E-9596-D5FCBA367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261936</xdr:colOff>
      <xdr:row>127</xdr:row>
      <xdr:rowOff>114300</xdr:rowOff>
    </xdr:from>
    <xdr:to>
      <xdr:col>19</xdr:col>
      <xdr:colOff>323849</xdr:colOff>
      <xdr:row>142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4610902-2956-455E-A32B-8A862613E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80961</xdr:colOff>
      <xdr:row>145</xdr:row>
      <xdr:rowOff>0</xdr:rowOff>
    </xdr:from>
    <xdr:to>
      <xdr:col>19</xdr:col>
      <xdr:colOff>352424</xdr:colOff>
      <xdr:row>159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643B933-6745-4ACE-BC0F-337AC4F19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99"/>
  <sheetViews>
    <sheetView tabSelected="1" workbookViewId="0">
      <pane ySplit="1" topLeftCell="A58" activePane="bottomLeft" state="frozen"/>
      <selection activeCell="N1" sqref="N1"/>
      <selection pane="bottomLeft" activeCell="AG99" sqref="AG99"/>
    </sheetView>
  </sheetViews>
  <sheetFormatPr defaultRowHeight="15" x14ac:dyDescent="0.25"/>
  <cols>
    <col min="1" max="1" width="14.28515625" customWidth="1"/>
    <col min="4" max="4" width="16.140625" customWidth="1"/>
  </cols>
  <sheetData>
    <row r="1" spans="1:55" x14ac:dyDescent="0.25">
      <c r="A1" t="s">
        <v>0</v>
      </c>
      <c r="B1" t="s">
        <v>49</v>
      </c>
      <c r="C1" t="s">
        <v>122</v>
      </c>
      <c r="D1" t="s">
        <v>50</v>
      </c>
      <c r="E1" t="s">
        <v>1</v>
      </c>
      <c r="F1" t="s">
        <v>2</v>
      </c>
      <c r="G1" t="s">
        <v>3</v>
      </c>
      <c r="H1" t="s">
        <v>4</v>
      </c>
      <c r="I1" t="s">
        <v>47</v>
      </c>
      <c r="J1" t="s">
        <v>5</v>
      </c>
      <c r="K1" t="s">
        <v>6</v>
      </c>
      <c r="L1" t="s">
        <v>48</v>
      </c>
      <c r="M1" t="s">
        <v>7</v>
      </c>
      <c r="N1" t="s">
        <v>8</v>
      </c>
      <c r="O1" t="s">
        <v>9</v>
      </c>
      <c r="P1" t="s">
        <v>12</v>
      </c>
      <c r="Q1" t="s">
        <v>118</v>
      </c>
      <c r="R1" t="s">
        <v>13</v>
      </c>
      <c r="S1" t="s">
        <v>14</v>
      </c>
      <c r="T1" t="s">
        <v>83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25</v>
      </c>
      <c r="AE1" t="s">
        <v>24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119</v>
      </c>
      <c r="BB1" t="s">
        <v>120</v>
      </c>
      <c r="BC1" t="s">
        <v>121</v>
      </c>
    </row>
    <row r="2" spans="1:55" x14ac:dyDescent="0.25">
      <c r="A2">
        <v>1</v>
      </c>
      <c r="B2" s="2">
        <v>9</v>
      </c>
      <c r="C2" s="2"/>
      <c r="D2" s="2">
        <v>1</v>
      </c>
      <c r="E2" s="2">
        <v>0</v>
      </c>
      <c r="F2" s="2">
        <v>0</v>
      </c>
      <c r="G2" s="2">
        <v>0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2</v>
      </c>
      <c r="Q2" s="2">
        <v>3</v>
      </c>
      <c r="R2" s="2">
        <v>2</v>
      </c>
      <c r="S2" s="2">
        <v>3</v>
      </c>
      <c r="T2" s="2">
        <v>1</v>
      </c>
      <c r="U2" s="2">
        <v>3</v>
      </c>
      <c r="V2" s="2">
        <v>2</v>
      </c>
      <c r="W2" s="2">
        <v>2</v>
      </c>
      <c r="X2" s="2">
        <v>1</v>
      </c>
      <c r="Y2" s="2">
        <v>3</v>
      </c>
      <c r="Z2" s="2">
        <v>4</v>
      </c>
      <c r="AA2" s="2">
        <v>6</v>
      </c>
      <c r="AB2" s="2">
        <v>6</v>
      </c>
      <c r="AC2" s="2">
        <v>6</v>
      </c>
      <c r="AD2" s="2"/>
      <c r="AE2" s="2">
        <v>7</v>
      </c>
      <c r="AF2" s="2">
        <v>4</v>
      </c>
      <c r="AG2" s="2"/>
      <c r="AH2" s="2">
        <v>3</v>
      </c>
      <c r="AI2" s="2">
        <v>3</v>
      </c>
      <c r="AJ2" s="2">
        <v>3</v>
      </c>
      <c r="AK2" s="2">
        <v>3</v>
      </c>
      <c r="AL2" s="2"/>
      <c r="AM2" s="2">
        <v>4</v>
      </c>
      <c r="AN2" s="2">
        <v>4</v>
      </c>
      <c r="AO2" s="2">
        <v>4</v>
      </c>
      <c r="AP2" s="2">
        <v>5</v>
      </c>
      <c r="AQ2" s="2">
        <v>4</v>
      </c>
      <c r="AR2" s="2">
        <v>3</v>
      </c>
      <c r="AS2" s="2">
        <v>2</v>
      </c>
      <c r="AT2" s="2">
        <v>5</v>
      </c>
      <c r="AU2" s="2">
        <v>2</v>
      </c>
      <c r="AV2" s="2">
        <v>4</v>
      </c>
      <c r="AW2" s="2">
        <v>2</v>
      </c>
      <c r="AX2" s="2">
        <v>4</v>
      </c>
      <c r="AY2" s="2"/>
      <c r="AZ2" s="2"/>
      <c r="BA2">
        <f t="shared" ref="BA2:BA66" si="0">IF(D2=1,1,0)</f>
        <v>1</v>
      </c>
      <c r="BB2">
        <f t="shared" ref="BB2:BB66" si="1">IF(D2=2,1,0)</f>
        <v>0</v>
      </c>
      <c r="BC2">
        <f t="shared" ref="BC2:BC66" si="2">IF(D2=3,1,0)</f>
        <v>0</v>
      </c>
    </row>
    <row r="3" spans="1:55" x14ac:dyDescent="0.25">
      <c r="A3">
        <v>2</v>
      </c>
      <c r="B3" s="2">
        <v>10</v>
      </c>
      <c r="C3" s="2"/>
      <c r="D3" s="2">
        <v>1</v>
      </c>
      <c r="E3" s="2">
        <v>0</v>
      </c>
      <c r="F3" s="2">
        <v>0</v>
      </c>
      <c r="G3" s="2">
        <v>0</v>
      </c>
      <c r="H3" s="2">
        <v>1</v>
      </c>
      <c r="I3" s="2">
        <v>0</v>
      </c>
      <c r="J3" s="2">
        <v>0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2</v>
      </c>
      <c r="Q3" s="2">
        <v>2</v>
      </c>
      <c r="R3" s="2">
        <v>2</v>
      </c>
      <c r="S3" s="2">
        <v>2</v>
      </c>
      <c r="T3" s="2">
        <v>1</v>
      </c>
      <c r="U3" s="2">
        <v>4</v>
      </c>
      <c r="V3" s="2">
        <v>3</v>
      </c>
      <c r="W3" s="2">
        <v>2</v>
      </c>
      <c r="X3" s="2">
        <v>1</v>
      </c>
      <c r="Y3" s="2">
        <v>3</v>
      </c>
      <c r="Z3" s="2">
        <v>7</v>
      </c>
      <c r="AA3" s="2">
        <v>6</v>
      </c>
      <c r="AB3" s="2">
        <v>3</v>
      </c>
      <c r="AC3" s="2">
        <v>6</v>
      </c>
      <c r="AD3" s="2">
        <v>2</v>
      </c>
      <c r="AE3" s="2">
        <v>1</v>
      </c>
      <c r="AF3" s="2">
        <v>5</v>
      </c>
      <c r="AG3" s="2">
        <v>6</v>
      </c>
      <c r="AH3" s="2">
        <v>2</v>
      </c>
      <c r="AI3" s="2">
        <v>1</v>
      </c>
      <c r="AJ3" s="2">
        <v>2</v>
      </c>
      <c r="AK3" s="2">
        <v>1</v>
      </c>
      <c r="AL3" s="2">
        <v>1</v>
      </c>
      <c r="AM3" s="2">
        <v>4</v>
      </c>
      <c r="AN3" s="2">
        <v>2</v>
      </c>
      <c r="AO3" s="2">
        <v>4</v>
      </c>
      <c r="AP3" s="2">
        <v>5</v>
      </c>
      <c r="AQ3" s="2">
        <v>4</v>
      </c>
      <c r="AR3" s="2">
        <v>5</v>
      </c>
      <c r="AS3" s="2">
        <v>3</v>
      </c>
      <c r="AT3" s="2">
        <v>5</v>
      </c>
      <c r="AU3" s="2">
        <v>4</v>
      </c>
      <c r="AV3" s="2">
        <v>3</v>
      </c>
      <c r="AW3" s="2">
        <v>3</v>
      </c>
      <c r="AX3" s="2">
        <v>4</v>
      </c>
      <c r="AY3" s="2">
        <v>3</v>
      </c>
      <c r="AZ3" s="2">
        <v>2</v>
      </c>
      <c r="BA3">
        <f t="shared" si="0"/>
        <v>1</v>
      </c>
      <c r="BB3">
        <f t="shared" si="1"/>
        <v>0</v>
      </c>
      <c r="BC3">
        <f t="shared" si="2"/>
        <v>0</v>
      </c>
    </row>
    <row r="4" spans="1:55" x14ac:dyDescent="0.25">
      <c r="A4">
        <v>3</v>
      </c>
      <c r="B4" s="2">
        <v>11</v>
      </c>
      <c r="C4" s="2"/>
      <c r="D4" s="2">
        <v>1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1</v>
      </c>
      <c r="M4" s="2">
        <v>0</v>
      </c>
      <c r="N4" s="2">
        <v>0</v>
      </c>
      <c r="O4" s="2">
        <v>0</v>
      </c>
      <c r="P4" s="2">
        <v>3</v>
      </c>
      <c r="Q4" s="2">
        <v>3</v>
      </c>
      <c r="R4" s="2">
        <v>3</v>
      </c>
      <c r="S4" s="2">
        <v>4</v>
      </c>
      <c r="T4" s="2">
        <v>2</v>
      </c>
      <c r="U4" s="2">
        <v>3</v>
      </c>
      <c r="V4" s="2">
        <v>3</v>
      </c>
      <c r="W4" s="2">
        <v>2</v>
      </c>
      <c r="X4" s="2">
        <v>2</v>
      </c>
      <c r="Y4" s="2">
        <v>2</v>
      </c>
      <c r="Z4" s="2">
        <v>3</v>
      </c>
      <c r="AA4" s="2">
        <v>3</v>
      </c>
      <c r="AB4" s="2">
        <v>3</v>
      </c>
      <c r="AC4" s="2">
        <v>3</v>
      </c>
      <c r="AD4" s="2">
        <v>3</v>
      </c>
      <c r="AE4" s="2">
        <v>2</v>
      </c>
      <c r="AF4" s="2">
        <v>3</v>
      </c>
      <c r="AG4" s="2"/>
      <c r="AH4" s="2">
        <v>3</v>
      </c>
      <c r="AI4" s="2">
        <v>2</v>
      </c>
      <c r="AJ4" s="2">
        <v>3</v>
      </c>
      <c r="AK4" s="2">
        <v>2</v>
      </c>
      <c r="AL4" s="2">
        <v>2</v>
      </c>
      <c r="AM4" s="2">
        <v>2</v>
      </c>
      <c r="AN4" s="2">
        <v>4</v>
      </c>
      <c r="AO4" s="2">
        <v>3</v>
      </c>
      <c r="AP4" s="2">
        <v>4</v>
      </c>
      <c r="AQ4" s="2">
        <v>4</v>
      </c>
      <c r="AR4" s="2">
        <v>3</v>
      </c>
      <c r="AS4" s="2">
        <v>1</v>
      </c>
      <c r="AT4" s="2">
        <v>5</v>
      </c>
      <c r="AU4" s="2">
        <v>1</v>
      </c>
      <c r="AV4" s="2">
        <v>5</v>
      </c>
      <c r="AW4" s="2">
        <v>1</v>
      </c>
      <c r="AX4" s="2">
        <v>5</v>
      </c>
      <c r="AY4" s="2">
        <v>2</v>
      </c>
      <c r="AZ4" s="2">
        <v>4</v>
      </c>
      <c r="BA4">
        <f t="shared" si="0"/>
        <v>1</v>
      </c>
      <c r="BB4">
        <f t="shared" si="1"/>
        <v>0</v>
      </c>
      <c r="BC4">
        <f t="shared" si="2"/>
        <v>0</v>
      </c>
    </row>
    <row r="5" spans="1:55" x14ac:dyDescent="0.25">
      <c r="A5">
        <v>4</v>
      </c>
      <c r="B5" s="2">
        <v>12</v>
      </c>
      <c r="C5" s="2"/>
      <c r="D5" s="2">
        <v>1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4</v>
      </c>
      <c r="Q5" s="2">
        <v>4</v>
      </c>
      <c r="R5" s="2"/>
      <c r="S5" s="2">
        <v>4</v>
      </c>
      <c r="T5" s="2">
        <v>3</v>
      </c>
      <c r="U5" s="2">
        <v>3</v>
      </c>
      <c r="V5" s="2">
        <v>3</v>
      </c>
      <c r="W5" s="2">
        <v>2</v>
      </c>
      <c r="X5" s="2">
        <v>2</v>
      </c>
      <c r="Y5" s="2">
        <v>4</v>
      </c>
      <c r="Z5" s="2">
        <v>4</v>
      </c>
      <c r="AA5" s="2">
        <v>4</v>
      </c>
      <c r="AB5" s="2">
        <v>4</v>
      </c>
      <c r="AC5" s="2">
        <v>5</v>
      </c>
      <c r="AD5" s="2"/>
      <c r="AE5" s="2"/>
      <c r="AF5" s="2"/>
      <c r="AG5" s="2">
        <v>5</v>
      </c>
      <c r="AH5" s="2"/>
      <c r="AI5" s="2">
        <v>3</v>
      </c>
      <c r="AJ5" s="2">
        <v>4</v>
      </c>
      <c r="AK5" s="2">
        <v>2</v>
      </c>
      <c r="AL5" s="2">
        <v>1</v>
      </c>
      <c r="AM5" s="2">
        <v>3</v>
      </c>
      <c r="AN5" s="2">
        <v>2</v>
      </c>
      <c r="AO5" s="2">
        <v>4</v>
      </c>
      <c r="AP5" s="2">
        <v>5</v>
      </c>
      <c r="AQ5" s="2">
        <v>5</v>
      </c>
      <c r="AR5" s="2">
        <v>3</v>
      </c>
      <c r="AS5" s="2">
        <v>2</v>
      </c>
      <c r="AT5" s="2">
        <v>4</v>
      </c>
      <c r="AU5" s="2">
        <v>4</v>
      </c>
      <c r="AV5" s="2">
        <v>3</v>
      </c>
      <c r="AW5" s="2">
        <v>3</v>
      </c>
      <c r="AX5" s="2">
        <v>4</v>
      </c>
      <c r="AY5" s="2">
        <v>2</v>
      </c>
      <c r="AZ5" s="2">
        <v>3</v>
      </c>
      <c r="BA5">
        <f t="shared" si="0"/>
        <v>1</v>
      </c>
      <c r="BB5">
        <f t="shared" si="1"/>
        <v>0</v>
      </c>
      <c r="BC5">
        <f t="shared" si="2"/>
        <v>0</v>
      </c>
    </row>
    <row r="6" spans="1:55" x14ac:dyDescent="0.25">
      <c r="A6">
        <v>5</v>
      </c>
      <c r="B6" s="2">
        <v>13</v>
      </c>
      <c r="C6" s="2"/>
      <c r="D6" s="2">
        <v>1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1</v>
      </c>
      <c r="R6" s="2">
        <v>2</v>
      </c>
      <c r="S6" s="2">
        <v>2</v>
      </c>
      <c r="T6" s="2">
        <v>2</v>
      </c>
      <c r="U6" s="2">
        <v>4</v>
      </c>
      <c r="V6" s="2">
        <v>3</v>
      </c>
      <c r="W6" s="2">
        <v>3</v>
      </c>
      <c r="X6" s="2">
        <v>2</v>
      </c>
      <c r="Y6" s="2">
        <v>1</v>
      </c>
      <c r="Z6" s="2">
        <v>2</v>
      </c>
      <c r="AA6" s="2">
        <v>3</v>
      </c>
      <c r="AB6" s="2">
        <v>3</v>
      </c>
      <c r="AC6" s="2">
        <v>3</v>
      </c>
      <c r="AD6" s="2">
        <v>2</v>
      </c>
      <c r="AE6" s="2">
        <v>2</v>
      </c>
      <c r="AF6" s="2">
        <v>2</v>
      </c>
      <c r="AG6" s="2">
        <v>3</v>
      </c>
      <c r="AH6" s="2">
        <v>2</v>
      </c>
      <c r="AI6" s="2">
        <v>3</v>
      </c>
      <c r="AJ6" s="2">
        <v>3</v>
      </c>
      <c r="AK6" s="2">
        <v>3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>
        <f t="shared" si="0"/>
        <v>1</v>
      </c>
      <c r="BB6">
        <f t="shared" si="1"/>
        <v>0</v>
      </c>
      <c r="BC6">
        <f t="shared" si="2"/>
        <v>0</v>
      </c>
    </row>
    <row r="7" spans="1:55" x14ac:dyDescent="0.25">
      <c r="A7">
        <v>6</v>
      </c>
      <c r="B7" s="2">
        <v>14</v>
      </c>
      <c r="C7" s="2"/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4</v>
      </c>
      <c r="Q7" s="2">
        <v>3</v>
      </c>
      <c r="R7" s="2">
        <v>3</v>
      </c>
      <c r="S7" s="2">
        <v>3</v>
      </c>
      <c r="T7" s="2">
        <v>2</v>
      </c>
      <c r="U7" s="2">
        <v>4</v>
      </c>
      <c r="V7" s="2">
        <v>3</v>
      </c>
      <c r="W7" s="2">
        <v>3</v>
      </c>
      <c r="X7" s="2">
        <v>2</v>
      </c>
      <c r="Y7" s="2">
        <v>2</v>
      </c>
      <c r="Z7" s="2">
        <v>4</v>
      </c>
      <c r="AA7" s="2">
        <v>4</v>
      </c>
      <c r="AB7" s="2">
        <v>5</v>
      </c>
      <c r="AC7" s="2">
        <v>4</v>
      </c>
      <c r="AD7" s="2">
        <v>3</v>
      </c>
      <c r="AE7" s="2">
        <v>2</v>
      </c>
      <c r="AF7" s="2">
        <v>2</v>
      </c>
      <c r="AG7" s="2">
        <v>5</v>
      </c>
      <c r="AH7" s="2">
        <v>3</v>
      </c>
      <c r="AI7" s="2">
        <v>3</v>
      </c>
      <c r="AJ7" s="2">
        <v>3</v>
      </c>
      <c r="AK7" s="2">
        <v>3</v>
      </c>
      <c r="AL7" s="2">
        <v>4</v>
      </c>
      <c r="AM7" s="2">
        <v>1</v>
      </c>
      <c r="AN7" s="2">
        <v>4</v>
      </c>
      <c r="AO7" s="2">
        <v>2</v>
      </c>
      <c r="AP7" s="2">
        <v>4</v>
      </c>
      <c r="AQ7" s="2">
        <v>2</v>
      </c>
      <c r="AR7" s="2">
        <v>3</v>
      </c>
      <c r="AS7" s="2">
        <v>2</v>
      </c>
      <c r="AT7" s="2">
        <v>5</v>
      </c>
      <c r="AU7" s="2">
        <v>1</v>
      </c>
      <c r="AV7" s="2">
        <v>4</v>
      </c>
      <c r="AW7" s="2">
        <v>2</v>
      </c>
      <c r="AX7" s="2">
        <v>4</v>
      </c>
      <c r="AY7" s="2">
        <v>2</v>
      </c>
      <c r="AZ7" s="2">
        <v>5</v>
      </c>
      <c r="BA7">
        <f t="shared" si="0"/>
        <v>1</v>
      </c>
      <c r="BB7">
        <f t="shared" si="1"/>
        <v>0</v>
      </c>
      <c r="BC7">
        <f t="shared" si="2"/>
        <v>0</v>
      </c>
    </row>
    <row r="8" spans="1:55" x14ac:dyDescent="0.25">
      <c r="A8">
        <v>7</v>
      </c>
      <c r="B8" s="2">
        <v>15</v>
      </c>
      <c r="C8" s="2"/>
      <c r="D8" s="2">
        <v>1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4</v>
      </c>
      <c r="V8" s="2">
        <v>3</v>
      </c>
      <c r="W8" s="2">
        <v>3</v>
      </c>
      <c r="X8" s="2">
        <v>2</v>
      </c>
      <c r="Y8" s="2">
        <v>1</v>
      </c>
      <c r="Z8" s="2">
        <v>6</v>
      </c>
      <c r="AA8" s="2">
        <v>6</v>
      </c>
      <c r="AB8" s="2">
        <v>6</v>
      </c>
      <c r="AC8" s="2"/>
      <c r="AD8" s="2">
        <v>6</v>
      </c>
      <c r="AE8" s="2">
        <v>2</v>
      </c>
      <c r="AF8" s="2">
        <v>1</v>
      </c>
      <c r="AG8" s="2">
        <v>6</v>
      </c>
      <c r="AH8" s="2">
        <v>2</v>
      </c>
      <c r="AI8" s="2">
        <v>2</v>
      </c>
      <c r="AJ8" s="2">
        <v>2</v>
      </c>
      <c r="AK8" s="2">
        <v>2</v>
      </c>
      <c r="AL8" s="2">
        <v>5</v>
      </c>
      <c r="AM8" s="2">
        <v>2</v>
      </c>
      <c r="AN8" s="2">
        <v>4</v>
      </c>
      <c r="AO8" s="2">
        <v>4</v>
      </c>
      <c r="AP8" s="2">
        <v>5</v>
      </c>
      <c r="AQ8" s="2">
        <v>2</v>
      </c>
      <c r="AR8" s="2">
        <v>4</v>
      </c>
      <c r="AS8" s="2">
        <v>3</v>
      </c>
      <c r="AT8" s="2">
        <v>3</v>
      </c>
      <c r="AU8" s="2">
        <v>2</v>
      </c>
      <c r="AV8" s="2">
        <v>4</v>
      </c>
      <c r="AW8" s="2">
        <v>2</v>
      </c>
      <c r="AX8" s="2">
        <v>3</v>
      </c>
      <c r="AY8" s="2">
        <v>3</v>
      </c>
      <c r="AZ8" s="2">
        <v>4</v>
      </c>
      <c r="BA8">
        <f t="shared" si="0"/>
        <v>1</v>
      </c>
      <c r="BB8">
        <f t="shared" si="1"/>
        <v>0</v>
      </c>
      <c r="BC8">
        <f t="shared" si="2"/>
        <v>0</v>
      </c>
    </row>
    <row r="9" spans="1:55" x14ac:dyDescent="0.25">
      <c r="A9">
        <v>8</v>
      </c>
      <c r="B9" s="2">
        <v>16</v>
      </c>
      <c r="C9" s="2"/>
      <c r="D9" s="2">
        <v>1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2</v>
      </c>
      <c r="Q9" s="2">
        <v>2</v>
      </c>
      <c r="R9" s="2">
        <v>2</v>
      </c>
      <c r="S9" s="2">
        <v>2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2</v>
      </c>
      <c r="Z9" s="2">
        <v>4</v>
      </c>
      <c r="AA9" s="2">
        <v>4</v>
      </c>
      <c r="AB9" s="2">
        <v>4</v>
      </c>
      <c r="AC9" s="2">
        <v>4</v>
      </c>
      <c r="AD9" s="2">
        <v>5</v>
      </c>
      <c r="AE9" s="2">
        <v>3</v>
      </c>
      <c r="AF9" s="2">
        <v>4</v>
      </c>
      <c r="AG9" s="2">
        <v>4</v>
      </c>
      <c r="AH9" s="2">
        <v>3</v>
      </c>
      <c r="AI9" s="2">
        <v>3</v>
      </c>
      <c r="AJ9" s="2">
        <v>3</v>
      </c>
      <c r="AK9" s="2">
        <v>3</v>
      </c>
      <c r="AL9" s="2">
        <v>5</v>
      </c>
      <c r="AM9" s="2">
        <v>3</v>
      </c>
      <c r="AN9" s="2">
        <v>3</v>
      </c>
      <c r="AO9" s="2">
        <v>3</v>
      </c>
      <c r="AP9" s="2">
        <v>4</v>
      </c>
      <c r="AQ9" s="2">
        <v>3</v>
      </c>
      <c r="AR9" s="2">
        <v>4</v>
      </c>
      <c r="AS9" s="2">
        <v>2</v>
      </c>
      <c r="AT9" s="2">
        <v>4</v>
      </c>
      <c r="AU9" s="2">
        <v>1</v>
      </c>
      <c r="AV9" s="2">
        <v>4</v>
      </c>
      <c r="AW9" s="2">
        <v>1</v>
      </c>
      <c r="AX9" s="2">
        <v>4</v>
      </c>
      <c r="AY9" s="2">
        <v>4</v>
      </c>
      <c r="AZ9" s="2">
        <v>4</v>
      </c>
      <c r="BA9">
        <f t="shared" si="0"/>
        <v>1</v>
      </c>
      <c r="BB9">
        <f t="shared" si="1"/>
        <v>0</v>
      </c>
      <c r="BC9">
        <f t="shared" si="2"/>
        <v>0</v>
      </c>
    </row>
    <row r="10" spans="1:55" x14ac:dyDescent="0.25">
      <c r="A10">
        <v>9</v>
      </c>
      <c r="B10" s="2">
        <v>17</v>
      </c>
      <c r="C10" s="2"/>
      <c r="D10" s="2">
        <v>1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4</v>
      </c>
      <c r="Q10" s="2">
        <v>3</v>
      </c>
      <c r="R10" s="2">
        <v>3</v>
      </c>
      <c r="S10" s="2">
        <v>4</v>
      </c>
      <c r="T10" s="2">
        <v>2</v>
      </c>
      <c r="U10" s="2">
        <v>4</v>
      </c>
      <c r="V10" s="2">
        <v>3</v>
      </c>
      <c r="W10" s="2">
        <v>2</v>
      </c>
      <c r="X10" s="2">
        <v>1</v>
      </c>
      <c r="Y10" s="2">
        <v>2</v>
      </c>
      <c r="Z10" s="2">
        <v>4</v>
      </c>
      <c r="AA10" s="2">
        <v>4</v>
      </c>
      <c r="AB10" s="2">
        <v>3</v>
      </c>
      <c r="AC10" s="2">
        <v>4</v>
      </c>
      <c r="AD10" s="2"/>
      <c r="AE10" s="2">
        <v>2</v>
      </c>
      <c r="AF10" s="2">
        <v>2</v>
      </c>
      <c r="AG10" s="2">
        <v>4</v>
      </c>
      <c r="AH10" s="2">
        <v>2</v>
      </c>
      <c r="AI10" s="2">
        <v>3</v>
      </c>
      <c r="AJ10" s="2">
        <v>3</v>
      </c>
      <c r="AK10" s="2">
        <v>2</v>
      </c>
      <c r="AL10" s="2">
        <v>5</v>
      </c>
      <c r="AM10" s="2">
        <v>2</v>
      </c>
      <c r="AN10" s="2">
        <v>5</v>
      </c>
      <c r="AO10" s="2">
        <v>2</v>
      </c>
      <c r="AP10" s="2">
        <v>3</v>
      </c>
      <c r="AQ10" s="2">
        <v>4</v>
      </c>
      <c r="AR10" s="2">
        <v>2</v>
      </c>
      <c r="AS10" s="2">
        <v>1</v>
      </c>
      <c r="AT10" s="2">
        <v>4</v>
      </c>
      <c r="AU10" s="2">
        <v>2</v>
      </c>
      <c r="AV10" s="2">
        <v>4</v>
      </c>
      <c r="AW10" s="2">
        <v>1</v>
      </c>
      <c r="AX10" s="2">
        <v>2</v>
      </c>
      <c r="AY10" s="2">
        <v>1</v>
      </c>
      <c r="AZ10" s="2">
        <v>5</v>
      </c>
      <c r="BA10">
        <f t="shared" si="0"/>
        <v>1</v>
      </c>
      <c r="BB10">
        <f t="shared" si="1"/>
        <v>0</v>
      </c>
      <c r="BC10">
        <f t="shared" si="2"/>
        <v>0</v>
      </c>
    </row>
    <row r="11" spans="1:55" x14ac:dyDescent="0.25">
      <c r="A11">
        <v>10</v>
      </c>
      <c r="B11" s="2">
        <v>18</v>
      </c>
      <c r="C11" s="2"/>
      <c r="D11" s="2">
        <v>2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2</v>
      </c>
      <c r="Q11" s="2">
        <v>2</v>
      </c>
      <c r="R11" s="2">
        <v>2</v>
      </c>
      <c r="S11" s="2">
        <v>3</v>
      </c>
      <c r="T11" s="2">
        <v>3</v>
      </c>
      <c r="U11" s="2">
        <v>2</v>
      </c>
      <c r="V11" s="2">
        <v>2</v>
      </c>
      <c r="W11" s="2">
        <v>1</v>
      </c>
      <c r="X11" s="2">
        <v>1</v>
      </c>
      <c r="Y11" s="2">
        <v>4</v>
      </c>
      <c r="Z11" s="2">
        <v>5</v>
      </c>
      <c r="AA11" s="2">
        <v>5</v>
      </c>
      <c r="AB11" s="2">
        <v>5</v>
      </c>
      <c r="AC11" s="2">
        <v>5</v>
      </c>
      <c r="AD11" s="2">
        <v>5</v>
      </c>
      <c r="AE11" s="2">
        <v>5</v>
      </c>
      <c r="AF11" s="2">
        <v>5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>
        <f t="shared" si="0"/>
        <v>0</v>
      </c>
      <c r="BB11">
        <f t="shared" si="1"/>
        <v>1</v>
      </c>
      <c r="BC11">
        <f t="shared" si="2"/>
        <v>0</v>
      </c>
    </row>
    <row r="12" spans="1:55" x14ac:dyDescent="0.25">
      <c r="A12">
        <v>11</v>
      </c>
      <c r="B12" s="2">
        <v>19</v>
      </c>
      <c r="C12" s="2"/>
      <c r="D12" s="2">
        <v>2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2</v>
      </c>
      <c r="Q12" s="2">
        <v>4</v>
      </c>
      <c r="R12" s="2">
        <v>2</v>
      </c>
      <c r="S12" s="2">
        <v>4</v>
      </c>
      <c r="T12" s="2">
        <v>4</v>
      </c>
      <c r="U12" s="2">
        <v>4</v>
      </c>
      <c r="V12" s="2">
        <v>1</v>
      </c>
      <c r="W12" s="2">
        <v>1</v>
      </c>
      <c r="X12" s="2">
        <v>1</v>
      </c>
      <c r="Y12" s="2">
        <v>3</v>
      </c>
      <c r="Z12" s="2">
        <v>4</v>
      </c>
      <c r="AA12" s="2">
        <v>4</v>
      </c>
      <c r="AB12" s="2">
        <v>4</v>
      </c>
      <c r="AC12" s="2">
        <v>3</v>
      </c>
      <c r="AD12" s="2">
        <v>3</v>
      </c>
      <c r="AE12" s="2">
        <v>2</v>
      </c>
      <c r="AF12" s="2">
        <v>3</v>
      </c>
      <c r="AG12" s="2">
        <v>4</v>
      </c>
      <c r="AH12" s="2">
        <v>4</v>
      </c>
      <c r="AI12" s="2">
        <v>2</v>
      </c>
      <c r="AJ12" s="2">
        <v>2</v>
      </c>
      <c r="AK12" s="2">
        <v>4</v>
      </c>
      <c r="AL12" s="2">
        <v>3</v>
      </c>
      <c r="AM12" s="2">
        <v>3</v>
      </c>
      <c r="AN12" s="2">
        <v>4</v>
      </c>
      <c r="AO12" s="2">
        <v>3</v>
      </c>
      <c r="AP12" s="2">
        <v>4</v>
      </c>
      <c r="AQ12" s="2">
        <v>4</v>
      </c>
      <c r="AR12" s="2">
        <v>4</v>
      </c>
      <c r="AS12" s="2">
        <v>3</v>
      </c>
      <c r="AT12" s="2">
        <v>4</v>
      </c>
      <c r="AU12" s="2">
        <v>4</v>
      </c>
      <c r="AV12" s="2">
        <v>2</v>
      </c>
      <c r="AW12" s="2">
        <v>2</v>
      </c>
      <c r="AX12" s="2">
        <v>4</v>
      </c>
      <c r="AY12" s="2">
        <v>4</v>
      </c>
      <c r="AZ12" s="2">
        <v>2</v>
      </c>
      <c r="BA12">
        <f t="shared" si="0"/>
        <v>0</v>
      </c>
      <c r="BB12">
        <f t="shared" si="1"/>
        <v>1</v>
      </c>
      <c r="BC12">
        <f t="shared" si="2"/>
        <v>0</v>
      </c>
    </row>
    <row r="13" spans="1:55" x14ac:dyDescent="0.25">
      <c r="A13">
        <v>12</v>
      </c>
      <c r="B13" s="2">
        <v>20</v>
      </c>
      <c r="C13" s="2"/>
      <c r="D13" s="2">
        <v>2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4</v>
      </c>
      <c r="Q13" s="2">
        <v>3</v>
      </c>
      <c r="R13" s="2">
        <v>2</v>
      </c>
      <c r="S13" s="2">
        <v>2</v>
      </c>
      <c r="T13" s="2">
        <v>4</v>
      </c>
      <c r="U13" s="2">
        <v>4</v>
      </c>
      <c r="V13" s="2">
        <v>1</v>
      </c>
      <c r="W13" s="2">
        <v>1</v>
      </c>
      <c r="X13" s="2">
        <v>1</v>
      </c>
      <c r="Y13" s="2">
        <v>3</v>
      </c>
      <c r="Z13" s="2">
        <v>5</v>
      </c>
      <c r="AA13" s="2">
        <v>6</v>
      </c>
      <c r="AB13" s="2">
        <v>2</v>
      </c>
      <c r="AC13" s="2">
        <v>6</v>
      </c>
      <c r="AD13" s="2">
        <v>3</v>
      </c>
      <c r="AE13" s="2">
        <v>1</v>
      </c>
      <c r="AF13" s="2">
        <v>6</v>
      </c>
      <c r="AG13" s="2">
        <v>5</v>
      </c>
      <c r="AH13" s="2">
        <v>5</v>
      </c>
      <c r="AI13" s="2">
        <v>2</v>
      </c>
      <c r="AJ13" s="2">
        <v>4</v>
      </c>
      <c r="AK13" s="2">
        <v>4</v>
      </c>
      <c r="AL13" s="2"/>
      <c r="AM13" s="2">
        <v>2</v>
      </c>
      <c r="AN13" s="2">
        <v>2</v>
      </c>
      <c r="AO13" s="2">
        <v>4</v>
      </c>
      <c r="AP13" s="2">
        <v>4</v>
      </c>
      <c r="AQ13" s="2">
        <v>2</v>
      </c>
      <c r="AR13" s="2">
        <v>4</v>
      </c>
      <c r="AS13" s="2">
        <v>3</v>
      </c>
      <c r="AT13" s="2">
        <v>4</v>
      </c>
      <c r="AU13" s="2">
        <v>4</v>
      </c>
      <c r="AV13" s="2">
        <v>4</v>
      </c>
      <c r="AW13" s="2">
        <v>2</v>
      </c>
      <c r="AX13" s="2">
        <v>4</v>
      </c>
      <c r="AY13" s="2">
        <v>3</v>
      </c>
      <c r="AZ13" s="2">
        <v>1</v>
      </c>
      <c r="BA13">
        <f t="shared" si="0"/>
        <v>0</v>
      </c>
      <c r="BB13">
        <f t="shared" si="1"/>
        <v>1</v>
      </c>
      <c r="BC13">
        <f t="shared" si="2"/>
        <v>0</v>
      </c>
    </row>
    <row r="14" spans="1:55" x14ac:dyDescent="0.25">
      <c r="A14">
        <v>13</v>
      </c>
      <c r="B14" s="2">
        <v>25</v>
      </c>
      <c r="C14" s="2"/>
      <c r="D14" s="2">
        <v>2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2</v>
      </c>
      <c r="Q14" s="2">
        <v>2</v>
      </c>
      <c r="R14" s="2">
        <v>2</v>
      </c>
      <c r="S14" s="2">
        <v>4</v>
      </c>
      <c r="T14" s="2">
        <v>2</v>
      </c>
      <c r="U14" s="2">
        <v>4</v>
      </c>
      <c r="V14" s="2">
        <v>4</v>
      </c>
      <c r="W14" s="2">
        <v>3</v>
      </c>
      <c r="X14" s="2">
        <v>3</v>
      </c>
      <c r="Y14" s="2">
        <v>3</v>
      </c>
      <c r="Z14" s="2">
        <v>6</v>
      </c>
      <c r="AA14" s="2">
        <v>6</v>
      </c>
      <c r="AB14" s="2">
        <v>6</v>
      </c>
      <c r="AC14" s="2">
        <v>6</v>
      </c>
      <c r="AD14" s="2">
        <v>6</v>
      </c>
      <c r="AE14" s="2">
        <v>2</v>
      </c>
      <c r="AF14" s="2">
        <v>6</v>
      </c>
      <c r="AG14" s="2">
        <v>6</v>
      </c>
      <c r="AH14" s="2">
        <v>3</v>
      </c>
      <c r="AI14" s="2">
        <v>1</v>
      </c>
      <c r="AJ14" s="2">
        <v>1</v>
      </c>
      <c r="AK14" s="2">
        <v>1</v>
      </c>
      <c r="AL14" s="2">
        <v>4</v>
      </c>
      <c r="AM14" s="2">
        <v>4</v>
      </c>
      <c r="AN14" s="2">
        <v>3</v>
      </c>
      <c r="AO14" s="2">
        <v>4</v>
      </c>
      <c r="AP14" s="2">
        <v>3</v>
      </c>
      <c r="AQ14" s="2">
        <v>4</v>
      </c>
      <c r="AR14" s="2">
        <v>2</v>
      </c>
      <c r="AS14" s="2">
        <v>2</v>
      </c>
      <c r="AT14" s="2">
        <v>4</v>
      </c>
      <c r="AU14" s="2">
        <v>4</v>
      </c>
      <c r="AV14" s="2">
        <v>4</v>
      </c>
      <c r="AW14" s="2">
        <v>4</v>
      </c>
      <c r="AX14" s="2">
        <v>4</v>
      </c>
      <c r="AY14" s="2">
        <v>2</v>
      </c>
      <c r="AZ14" s="2">
        <v>2</v>
      </c>
      <c r="BA14">
        <f t="shared" si="0"/>
        <v>0</v>
      </c>
      <c r="BB14">
        <f t="shared" si="1"/>
        <v>1</v>
      </c>
      <c r="BC14">
        <f t="shared" si="2"/>
        <v>0</v>
      </c>
    </row>
    <row r="15" spans="1:55" x14ac:dyDescent="0.25">
      <c r="A15">
        <v>14</v>
      </c>
      <c r="B15" s="2">
        <v>28</v>
      </c>
      <c r="C15" s="2"/>
      <c r="D15" s="2">
        <v>2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0</v>
      </c>
      <c r="P15" s="2">
        <v>3</v>
      </c>
      <c r="Q15" s="2">
        <v>4</v>
      </c>
      <c r="R15" s="2">
        <v>2</v>
      </c>
      <c r="S15" s="2">
        <v>3</v>
      </c>
      <c r="T15" s="2">
        <v>3</v>
      </c>
      <c r="U15" s="2">
        <v>2</v>
      </c>
      <c r="V15" s="2">
        <v>2</v>
      </c>
      <c r="W15" s="2">
        <v>1</v>
      </c>
      <c r="X15" s="2">
        <v>1</v>
      </c>
      <c r="Y15" s="2">
        <v>1</v>
      </c>
      <c r="Z15" s="2">
        <v>4</v>
      </c>
      <c r="AA15" s="2">
        <v>4</v>
      </c>
      <c r="AB15" s="2">
        <v>1</v>
      </c>
      <c r="AC15" s="2">
        <v>1</v>
      </c>
      <c r="AD15" s="2">
        <v>3</v>
      </c>
      <c r="AE15" s="2">
        <v>3</v>
      </c>
      <c r="AF15" s="2">
        <v>3</v>
      </c>
      <c r="AG15" s="2">
        <v>4</v>
      </c>
      <c r="AH15" s="2">
        <v>4</v>
      </c>
      <c r="AI15" s="2">
        <v>4</v>
      </c>
      <c r="AJ15" s="2">
        <v>3</v>
      </c>
      <c r="AK15" s="2">
        <v>3</v>
      </c>
      <c r="AL15" s="2">
        <v>4</v>
      </c>
      <c r="AM15" s="2">
        <v>3</v>
      </c>
      <c r="AN15" s="2">
        <v>3</v>
      </c>
      <c r="AO15" s="2"/>
      <c r="AP15" s="2">
        <v>4</v>
      </c>
      <c r="AQ15" s="2">
        <v>4</v>
      </c>
      <c r="AR15" s="2">
        <v>4</v>
      </c>
      <c r="AS15" s="2">
        <v>2</v>
      </c>
      <c r="AT15" s="2">
        <v>5</v>
      </c>
      <c r="AU15" s="2">
        <v>1</v>
      </c>
      <c r="AV15" s="2">
        <v>4</v>
      </c>
      <c r="AW15" s="2">
        <v>2</v>
      </c>
      <c r="AX15" s="2">
        <v>5</v>
      </c>
      <c r="AY15" s="2">
        <v>3</v>
      </c>
      <c r="AZ15" s="2">
        <v>4</v>
      </c>
      <c r="BA15">
        <f t="shared" si="0"/>
        <v>0</v>
      </c>
      <c r="BB15">
        <f t="shared" si="1"/>
        <v>1</v>
      </c>
      <c r="BC15">
        <f t="shared" si="2"/>
        <v>0</v>
      </c>
    </row>
    <row r="16" spans="1:55" x14ac:dyDescent="0.25">
      <c r="A16">
        <v>15</v>
      </c>
      <c r="B16" s="2">
        <v>33</v>
      </c>
      <c r="C16" s="2"/>
      <c r="D16" s="2">
        <v>2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2</v>
      </c>
      <c r="Q16" s="2">
        <v>3</v>
      </c>
      <c r="R16" s="2">
        <v>2</v>
      </c>
      <c r="S16" s="2">
        <v>2</v>
      </c>
      <c r="T16" s="2">
        <v>2</v>
      </c>
      <c r="U16" s="2">
        <v>4</v>
      </c>
      <c r="V16" s="2"/>
      <c r="W16" s="2">
        <v>3</v>
      </c>
      <c r="X16" s="2"/>
      <c r="Y16" s="2">
        <v>3</v>
      </c>
      <c r="Z16" s="2">
        <v>5</v>
      </c>
      <c r="AA16" s="2">
        <v>5</v>
      </c>
      <c r="AB16" s="2">
        <v>5</v>
      </c>
      <c r="AC16" s="2"/>
      <c r="AD16" s="2">
        <v>3</v>
      </c>
      <c r="AE16" s="2">
        <v>2</v>
      </c>
      <c r="AF16" s="2">
        <v>4</v>
      </c>
      <c r="AG16" s="2">
        <v>4</v>
      </c>
      <c r="AH16" s="2"/>
      <c r="AI16" s="2">
        <v>1</v>
      </c>
      <c r="AJ16" s="2">
        <v>2</v>
      </c>
      <c r="AK16" s="2">
        <v>1</v>
      </c>
      <c r="AL16" s="2">
        <v>3</v>
      </c>
      <c r="AM16" s="2">
        <v>4</v>
      </c>
      <c r="AN16" s="2">
        <v>3</v>
      </c>
      <c r="AO16" s="2">
        <v>3</v>
      </c>
      <c r="AP16" s="2">
        <v>3</v>
      </c>
      <c r="AQ16" s="2">
        <v>4</v>
      </c>
      <c r="AR16" s="2">
        <v>4</v>
      </c>
      <c r="AS16" s="2">
        <v>4</v>
      </c>
      <c r="AT16" s="2">
        <v>4</v>
      </c>
      <c r="AU16" s="2">
        <v>3</v>
      </c>
      <c r="AV16" s="2">
        <v>4</v>
      </c>
      <c r="AW16" s="2">
        <v>3</v>
      </c>
      <c r="AX16" s="2">
        <v>3</v>
      </c>
      <c r="AY16" s="2">
        <v>4</v>
      </c>
      <c r="AZ16" s="2">
        <v>2</v>
      </c>
      <c r="BA16">
        <f t="shared" si="0"/>
        <v>0</v>
      </c>
      <c r="BB16">
        <f t="shared" si="1"/>
        <v>1</v>
      </c>
      <c r="BC16">
        <f t="shared" si="2"/>
        <v>0</v>
      </c>
    </row>
    <row r="17" spans="1:55" x14ac:dyDescent="0.25">
      <c r="A17">
        <f t="shared" ref="A17:A22" si="3">A16+1</f>
        <v>16</v>
      </c>
      <c r="B17" s="2">
        <v>34</v>
      </c>
      <c r="C17" s="2"/>
      <c r="D17" s="2">
        <v>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/>
      <c r="Q17" s="2">
        <v>3</v>
      </c>
      <c r="R17" s="2">
        <v>2</v>
      </c>
      <c r="S17" s="2">
        <v>3</v>
      </c>
      <c r="T17" s="2">
        <v>3</v>
      </c>
      <c r="U17" s="2">
        <v>1</v>
      </c>
      <c r="V17" s="2">
        <v>1</v>
      </c>
      <c r="W17" s="2">
        <v>1</v>
      </c>
      <c r="X17" s="2">
        <v>1</v>
      </c>
      <c r="Y17" s="2">
        <v>3</v>
      </c>
      <c r="Z17" s="2">
        <v>3</v>
      </c>
      <c r="AA17" s="2">
        <v>3</v>
      </c>
      <c r="AB17" s="2">
        <v>3</v>
      </c>
      <c r="AC17" s="2">
        <v>3</v>
      </c>
      <c r="AD17" s="2">
        <v>3</v>
      </c>
      <c r="AE17" s="2">
        <v>3</v>
      </c>
      <c r="AF17" s="2">
        <v>3</v>
      </c>
      <c r="AG17" s="2">
        <v>4</v>
      </c>
      <c r="AH17" s="2">
        <v>3</v>
      </c>
      <c r="AI17" s="2">
        <v>1</v>
      </c>
      <c r="AJ17" s="2">
        <v>1</v>
      </c>
      <c r="AK17" s="2">
        <v>1</v>
      </c>
      <c r="AL17" s="2">
        <v>3</v>
      </c>
      <c r="AM17" s="2">
        <v>3</v>
      </c>
      <c r="AN17" s="2">
        <v>3</v>
      </c>
      <c r="AO17" s="2">
        <v>3</v>
      </c>
      <c r="AP17" s="2">
        <v>3</v>
      </c>
      <c r="AQ17" s="2">
        <v>3</v>
      </c>
      <c r="AR17" s="2">
        <v>3</v>
      </c>
      <c r="AS17" s="2">
        <v>3</v>
      </c>
      <c r="AT17" s="2">
        <v>4</v>
      </c>
      <c r="AU17" s="2">
        <v>3</v>
      </c>
      <c r="AV17" s="2">
        <v>3</v>
      </c>
      <c r="AW17" s="2">
        <v>3</v>
      </c>
      <c r="AX17" s="2">
        <v>3</v>
      </c>
      <c r="AY17" s="2">
        <v>3</v>
      </c>
      <c r="AZ17" s="2">
        <v>2</v>
      </c>
      <c r="BA17">
        <f t="shared" si="0"/>
        <v>0</v>
      </c>
      <c r="BB17">
        <f t="shared" si="1"/>
        <v>1</v>
      </c>
      <c r="BC17">
        <f t="shared" si="2"/>
        <v>0</v>
      </c>
    </row>
    <row r="18" spans="1:55" x14ac:dyDescent="0.25">
      <c r="A18">
        <f t="shared" si="3"/>
        <v>17</v>
      </c>
      <c r="B18" s="2">
        <v>36</v>
      </c>
      <c r="C18" s="2"/>
      <c r="D18" s="2">
        <v>2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3</v>
      </c>
      <c r="Q18" s="2"/>
      <c r="R18" s="2">
        <v>3</v>
      </c>
      <c r="S18" s="2">
        <v>3</v>
      </c>
      <c r="T18" s="2"/>
      <c r="U18" s="2">
        <v>3</v>
      </c>
      <c r="V18" s="2">
        <v>4</v>
      </c>
      <c r="W18" s="2">
        <v>4</v>
      </c>
      <c r="X18" s="2">
        <v>3</v>
      </c>
      <c r="Y18" s="2">
        <v>3</v>
      </c>
      <c r="Z18" s="2">
        <v>3</v>
      </c>
      <c r="AA18" s="2">
        <v>4</v>
      </c>
      <c r="AB18" s="2">
        <v>4</v>
      </c>
      <c r="AC18" s="2">
        <v>2</v>
      </c>
      <c r="AD18" s="2">
        <v>2</v>
      </c>
      <c r="AE18" s="2">
        <v>2</v>
      </c>
      <c r="AF18" s="2"/>
      <c r="AG18" s="2">
        <v>4</v>
      </c>
      <c r="AH18" s="2">
        <v>2</v>
      </c>
      <c r="AI18" s="2">
        <v>2</v>
      </c>
      <c r="AJ18" s="2">
        <v>2</v>
      </c>
      <c r="AK18" s="2">
        <v>4</v>
      </c>
      <c r="AL18" s="2"/>
      <c r="AM18" s="2">
        <v>2</v>
      </c>
      <c r="AN18" s="2"/>
      <c r="AO18" s="2">
        <v>3</v>
      </c>
      <c r="AP18" s="2">
        <v>4</v>
      </c>
      <c r="AQ18" s="2">
        <v>4</v>
      </c>
      <c r="AR18" s="2">
        <v>4</v>
      </c>
      <c r="AS18" s="2">
        <v>3</v>
      </c>
      <c r="AT18" s="2">
        <v>4</v>
      </c>
      <c r="AU18" s="2">
        <v>2</v>
      </c>
      <c r="AV18" s="2">
        <v>4</v>
      </c>
      <c r="AW18" s="2">
        <v>2</v>
      </c>
      <c r="AX18" s="2">
        <v>3</v>
      </c>
      <c r="AY18" s="2">
        <v>3</v>
      </c>
      <c r="AZ18" s="2">
        <v>2</v>
      </c>
      <c r="BA18">
        <f t="shared" si="0"/>
        <v>0</v>
      </c>
      <c r="BB18">
        <f t="shared" si="1"/>
        <v>1</v>
      </c>
      <c r="BC18">
        <f t="shared" si="2"/>
        <v>0</v>
      </c>
    </row>
    <row r="19" spans="1:55" x14ac:dyDescent="0.25">
      <c r="A19">
        <f t="shared" si="3"/>
        <v>18</v>
      </c>
      <c r="B19" s="2">
        <v>37</v>
      </c>
      <c r="C19" s="2"/>
      <c r="D19" s="2">
        <v>2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3</v>
      </c>
      <c r="Q19" s="2">
        <v>3</v>
      </c>
      <c r="R19" s="2">
        <v>2</v>
      </c>
      <c r="S19" s="2">
        <v>2</v>
      </c>
      <c r="T19" s="2">
        <v>3</v>
      </c>
      <c r="U19" s="2">
        <v>3</v>
      </c>
      <c r="V19" s="2"/>
      <c r="W19" s="2">
        <v>4</v>
      </c>
      <c r="X19" s="2">
        <v>3</v>
      </c>
      <c r="Y19" s="2">
        <v>1</v>
      </c>
      <c r="Z19" s="2">
        <v>1</v>
      </c>
      <c r="AA19" s="2">
        <v>4</v>
      </c>
      <c r="AB19" s="2">
        <v>2</v>
      </c>
      <c r="AC19" s="2">
        <v>4</v>
      </c>
      <c r="AD19" s="2">
        <v>2</v>
      </c>
      <c r="AE19" s="2">
        <v>1</v>
      </c>
      <c r="AF19" s="2">
        <v>2</v>
      </c>
      <c r="AG19" s="2">
        <v>5</v>
      </c>
      <c r="AH19" s="2">
        <v>5</v>
      </c>
      <c r="AI19" s="2">
        <v>5</v>
      </c>
      <c r="AJ19" s="2">
        <v>2</v>
      </c>
      <c r="AK19" s="2">
        <v>2</v>
      </c>
      <c r="AL19" s="2">
        <v>5</v>
      </c>
      <c r="AM19" s="2">
        <v>1</v>
      </c>
      <c r="AN19" s="2">
        <v>5</v>
      </c>
      <c r="AO19" s="2">
        <v>4</v>
      </c>
      <c r="AP19" s="2">
        <v>4</v>
      </c>
      <c r="AQ19" s="2">
        <v>5</v>
      </c>
      <c r="AR19" s="2">
        <v>4</v>
      </c>
      <c r="AS19" s="2">
        <v>2</v>
      </c>
      <c r="AT19" s="2">
        <v>1</v>
      </c>
      <c r="AU19" s="2">
        <v>4</v>
      </c>
      <c r="AV19" s="2">
        <v>4</v>
      </c>
      <c r="AW19" s="2">
        <v>3</v>
      </c>
      <c r="AX19" s="2">
        <v>4</v>
      </c>
      <c r="AY19" s="2">
        <v>2</v>
      </c>
      <c r="AZ19" s="2">
        <v>4</v>
      </c>
      <c r="BA19">
        <f t="shared" si="0"/>
        <v>0</v>
      </c>
      <c r="BB19">
        <f t="shared" si="1"/>
        <v>1</v>
      </c>
      <c r="BC19">
        <f t="shared" si="2"/>
        <v>0</v>
      </c>
    </row>
    <row r="20" spans="1:55" x14ac:dyDescent="0.25">
      <c r="A20">
        <f t="shared" si="3"/>
        <v>19</v>
      </c>
      <c r="B20" s="2">
        <v>39</v>
      </c>
      <c r="C20" s="2"/>
      <c r="D20" s="2">
        <v>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4</v>
      </c>
      <c r="Q20" s="2">
        <v>2</v>
      </c>
      <c r="R20" s="2">
        <v>3</v>
      </c>
      <c r="S20" s="2">
        <v>4</v>
      </c>
      <c r="T20" s="2">
        <v>3</v>
      </c>
      <c r="U20" s="2">
        <v>3</v>
      </c>
      <c r="V20" s="2">
        <v>3</v>
      </c>
      <c r="W20" s="2">
        <v>2</v>
      </c>
      <c r="X20" s="2">
        <v>2</v>
      </c>
      <c r="Y20" s="2">
        <v>1</v>
      </c>
      <c r="Z20" s="2">
        <v>2</v>
      </c>
      <c r="AA20" s="2">
        <v>3</v>
      </c>
      <c r="AB20" s="2">
        <v>2</v>
      </c>
      <c r="AC20" s="2">
        <v>2</v>
      </c>
      <c r="AD20" s="2">
        <v>2</v>
      </c>
      <c r="AE20" s="2">
        <v>3</v>
      </c>
      <c r="AF20" s="2">
        <v>2</v>
      </c>
      <c r="AG20" s="2">
        <v>4</v>
      </c>
      <c r="AH20" s="2"/>
      <c r="AI20" s="2">
        <v>2</v>
      </c>
      <c r="AJ20" s="2">
        <v>4</v>
      </c>
      <c r="AK20" s="2">
        <v>4</v>
      </c>
      <c r="AL20" s="2">
        <v>3</v>
      </c>
      <c r="AM20" s="2">
        <v>1</v>
      </c>
      <c r="AN20" s="2">
        <v>5</v>
      </c>
      <c r="AO20" s="2">
        <v>3</v>
      </c>
      <c r="AP20" s="2">
        <v>5</v>
      </c>
      <c r="AQ20" s="2">
        <v>4</v>
      </c>
      <c r="AR20" s="2">
        <v>4</v>
      </c>
      <c r="AS20" s="2">
        <v>4</v>
      </c>
      <c r="AT20" s="2">
        <v>5</v>
      </c>
      <c r="AU20" s="2">
        <v>3</v>
      </c>
      <c r="AV20" s="2">
        <v>4</v>
      </c>
      <c r="AW20" s="2">
        <v>2</v>
      </c>
      <c r="AX20" s="2">
        <v>4</v>
      </c>
      <c r="AY20" s="2">
        <v>2</v>
      </c>
      <c r="AZ20" s="2">
        <v>4</v>
      </c>
      <c r="BA20">
        <f t="shared" si="0"/>
        <v>0</v>
      </c>
      <c r="BB20">
        <f t="shared" si="1"/>
        <v>1</v>
      </c>
      <c r="BC20">
        <f t="shared" si="2"/>
        <v>0</v>
      </c>
    </row>
    <row r="21" spans="1:55" x14ac:dyDescent="0.25">
      <c r="A21">
        <f t="shared" si="3"/>
        <v>20</v>
      </c>
      <c r="B21" s="2">
        <v>40</v>
      </c>
      <c r="C21" s="2"/>
      <c r="D21" s="2">
        <v>2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</v>
      </c>
      <c r="Q21" s="2">
        <v>4</v>
      </c>
      <c r="R21" s="2">
        <v>3</v>
      </c>
      <c r="S21" s="2">
        <v>4</v>
      </c>
      <c r="T21" s="2">
        <v>4</v>
      </c>
      <c r="U21" s="2">
        <v>3</v>
      </c>
      <c r="V21" s="2">
        <v>2</v>
      </c>
      <c r="W21" s="2">
        <v>2</v>
      </c>
      <c r="X21" s="2">
        <v>2</v>
      </c>
      <c r="Y21" s="2">
        <v>3</v>
      </c>
      <c r="Z21" s="2">
        <v>3</v>
      </c>
      <c r="AA21" s="2">
        <v>3</v>
      </c>
      <c r="AB21" s="2">
        <v>3</v>
      </c>
      <c r="AC21" s="2">
        <v>3</v>
      </c>
      <c r="AD21" s="2">
        <v>3</v>
      </c>
      <c r="AE21" s="2">
        <v>3</v>
      </c>
      <c r="AF21" s="2">
        <v>3</v>
      </c>
      <c r="AG21" s="2">
        <v>5</v>
      </c>
      <c r="AH21" s="2">
        <v>5</v>
      </c>
      <c r="AI21" s="2">
        <v>2</v>
      </c>
      <c r="AJ21" s="2">
        <v>2</v>
      </c>
      <c r="AK21" s="2">
        <v>3</v>
      </c>
      <c r="AL21" s="2">
        <v>4</v>
      </c>
      <c r="AM21" s="2">
        <v>1</v>
      </c>
      <c r="AN21" s="2">
        <v>4</v>
      </c>
      <c r="AO21" s="2">
        <v>4</v>
      </c>
      <c r="AP21" s="2">
        <v>4</v>
      </c>
      <c r="AQ21" s="2">
        <v>5</v>
      </c>
      <c r="AR21" s="2">
        <v>4</v>
      </c>
      <c r="AS21" s="2">
        <v>3</v>
      </c>
      <c r="AT21" s="2">
        <v>4</v>
      </c>
      <c r="AU21" s="2">
        <v>5</v>
      </c>
      <c r="AV21" s="2">
        <v>3</v>
      </c>
      <c r="AW21" s="2">
        <v>2</v>
      </c>
      <c r="AX21" s="2">
        <v>4</v>
      </c>
      <c r="AY21" s="2">
        <v>3</v>
      </c>
      <c r="AZ21" s="2">
        <v>2</v>
      </c>
      <c r="BA21">
        <f t="shared" si="0"/>
        <v>0</v>
      </c>
      <c r="BB21">
        <f t="shared" si="1"/>
        <v>1</v>
      </c>
      <c r="BC21">
        <f t="shared" si="2"/>
        <v>0</v>
      </c>
    </row>
    <row r="22" spans="1:55" x14ac:dyDescent="0.25">
      <c r="A22">
        <f t="shared" si="3"/>
        <v>21</v>
      </c>
      <c r="B22" s="2">
        <v>43</v>
      </c>
      <c r="C22" s="2"/>
      <c r="D22" s="2">
        <v>2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4</v>
      </c>
      <c r="Q22" s="2"/>
      <c r="R22" s="2">
        <v>4</v>
      </c>
      <c r="S22" s="2">
        <v>4</v>
      </c>
      <c r="T22" s="2">
        <v>4</v>
      </c>
      <c r="U22" s="2">
        <v>1</v>
      </c>
      <c r="V22" s="2">
        <v>1</v>
      </c>
      <c r="W22" s="2">
        <v>1</v>
      </c>
      <c r="X22" s="2">
        <v>1</v>
      </c>
      <c r="Y22" s="2">
        <v>3</v>
      </c>
      <c r="Z22" s="2">
        <v>2</v>
      </c>
      <c r="AA22" s="2">
        <v>2</v>
      </c>
      <c r="AB22" s="2">
        <v>2</v>
      </c>
      <c r="AC22" s="2">
        <v>2</v>
      </c>
      <c r="AD22" s="2">
        <v>2</v>
      </c>
      <c r="AE22" s="2">
        <v>2</v>
      </c>
      <c r="AF22" s="2">
        <v>3</v>
      </c>
      <c r="AG22" s="2">
        <v>7</v>
      </c>
      <c r="AH22" s="2">
        <v>7</v>
      </c>
      <c r="AI22" s="2">
        <v>4</v>
      </c>
      <c r="AJ22" s="2">
        <v>3</v>
      </c>
      <c r="AK22" s="2">
        <v>3</v>
      </c>
      <c r="AL22" s="2">
        <v>4</v>
      </c>
      <c r="AM22" s="2">
        <v>3</v>
      </c>
      <c r="AN22" s="2">
        <v>3</v>
      </c>
      <c r="AO22" s="2">
        <v>3</v>
      </c>
      <c r="AP22" s="2">
        <v>4</v>
      </c>
      <c r="AQ22" s="2">
        <v>4</v>
      </c>
      <c r="AR22" s="2">
        <v>4</v>
      </c>
      <c r="AS22" s="2">
        <v>3</v>
      </c>
      <c r="AT22" s="2">
        <v>4</v>
      </c>
      <c r="AU22" s="2">
        <v>2</v>
      </c>
      <c r="AV22" s="2">
        <v>3</v>
      </c>
      <c r="AW22" s="2">
        <v>2</v>
      </c>
      <c r="AX22" s="2">
        <v>4</v>
      </c>
      <c r="AY22" s="2">
        <v>4</v>
      </c>
      <c r="AZ22" s="2">
        <v>3</v>
      </c>
      <c r="BA22">
        <f t="shared" si="0"/>
        <v>0</v>
      </c>
      <c r="BB22">
        <f t="shared" si="1"/>
        <v>1</v>
      </c>
      <c r="BC22">
        <f t="shared" si="2"/>
        <v>0</v>
      </c>
    </row>
    <row r="23" spans="1:55" x14ac:dyDescent="0.25">
      <c r="A23">
        <v>22</v>
      </c>
      <c r="B23" s="2">
        <v>44</v>
      </c>
      <c r="C23" s="2"/>
      <c r="D23" s="2">
        <v>2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3</v>
      </c>
      <c r="Q23" s="2">
        <v>3</v>
      </c>
      <c r="R23" s="2">
        <v>3</v>
      </c>
      <c r="S23" s="2">
        <v>4</v>
      </c>
      <c r="T23" s="2">
        <v>2</v>
      </c>
      <c r="U23" s="2">
        <v>3</v>
      </c>
      <c r="V23" s="2">
        <v>1</v>
      </c>
      <c r="W23" s="2">
        <v>1</v>
      </c>
      <c r="X23" s="2">
        <v>1</v>
      </c>
      <c r="Y23" s="2">
        <v>2</v>
      </c>
      <c r="Z23" s="2">
        <v>3</v>
      </c>
      <c r="AA23" s="2">
        <v>3</v>
      </c>
      <c r="AB23" s="2">
        <v>2</v>
      </c>
      <c r="AC23" s="2">
        <v>2</v>
      </c>
      <c r="AD23" s="2">
        <v>2</v>
      </c>
      <c r="AE23" s="2">
        <v>2</v>
      </c>
      <c r="AF23" s="2"/>
      <c r="AG23" s="2">
        <v>2</v>
      </c>
      <c r="AH23" s="2">
        <v>4</v>
      </c>
      <c r="AI23" s="2">
        <v>3</v>
      </c>
      <c r="AJ23" s="2">
        <v>3</v>
      </c>
      <c r="AK23" s="2">
        <v>2</v>
      </c>
      <c r="AL23" s="2"/>
      <c r="AM23" s="2">
        <v>1</v>
      </c>
      <c r="AN23" s="2">
        <v>5</v>
      </c>
      <c r="AO23" s="2">
        <v>2</v>
      </c>
      <c r="AP23" s="2">
        <v>5</v>
      </c>
      <c r="AQ23" s="2">
        <v>5</v>
      </c>
      <c r="AR23" s="2">
        <v>5</v>
      </c>
      <c r="AS23" s="2">
        <v>4</v>
      </c>
      <c r="AT23" s="2">
        <v>5</v>
      </c>
      <c r="AU23" s="2">
        <v>5</v>
      </c>
      <c r="AV23" s="2">
        <v>4</v>
      </c>
      <c r="AW23" s="2">
        <v>1</v>
      </c>
      <c r="AX23" s="2">
        <v>5</v>
      </c>
      <c r="AY23" s="2">
        <v>2</v>
      </c>
      <c r="AZ23" s="2">
        <v>5</v>
      </c>
      <c r="BA23">
        <f t="shared" si="0"/>
        <v>0</v>
      </c>
      <c r="BB23">
        <f t="shared" si="1"/>
        <v>1</v>
      </c>
      <c r="BC23">
        <f t="shared" si="2"/>
        <v>0</v>
      </c>
    </row>
    <row r="24" spans="1:55" x14ac:dyDescent="0.25">
      <c r="A24">
        <v>23</v>
      </c>
      <c r="B24" s="2">
        <v>45</v>
      </c>
      <c r="C24" s="2"/>
      <c r="D24" s="2">
        <v>2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</v>
      </c>
      <c r="Q24" s="2">
        <v>3</v>
      </c>
      <c r="R24" s="2">
        <v>2</v>
      </c>
      <c r="S24" s="2">
        <v>2</v>
      </c>
      <c r="T24" s="2">
        <v>3</v>
      </c>
      <c r="U24" s="2">
        <v>1</v>
      </c>
      <c r="V24" s="2"/>
      <c r="W24" s="2">
        <v>1</v>
      </c>
      <c r="X24" s="2">
        <v>1</v>
      </c>
      <c r="Y24" s="2">
        <v>3</v>
      </c>
      <c r="Z24" s="2">
        <v>4</v>
      </c>
      <c r="AA24" s="2">
        <v>4</v>
      </c>
      <c r="AB24" s="2">
        <v>4</v>
      </c>
      <c r="AC24" s="2">
        <v>5</v>
      </c>
      <c r="AD24" s="2">
        <v>4</v>
      </c>
      <c r="AE24" s="2">
        <v>3</v>
      </c>
      <c r="AF24" s="2">
        <v>5</v>
      </c>
      <c r="AG24" s="2">
        <v>3</v>
      </c>
      <c r="AH24" s="2">
        <v>2</v>
      </c>
      <c r="AI24" s="2">
        <v>2</v>
      </c>
      <c r="AJ24" s="2">
        <v>2</v>
      </c>
      <c r="AK24" s="2">
        <v>2</v>
      </c>
      <c r="AL24" s="2">
        <v>3</v>
      </c>
      <c r="AM24" s="2">
        <v>3</v>
      </c>
      <c r="AN24" s="2">
        <v>3</v>
      </c>
      <c r="AO24" s="2">
        <v>3</v>
      </c>
      <c r="AP24" s="2">
        <v>3</v>
      </c>
      <c r="AQ24" s="2">
        <v>4</v>
      </c>
      <c r="AR24" s="2">
        <v>3</v>
      </c>
      <c r="AS24" s="2">
        <v>3</v>
      </c>
      <c r="AT24" s="2">
        <v>3</v>
      </c>
      <c r="AU24" s="2">
        <v>3</v>
      </c>
      <c r="AV24" s="2">
        <v>3</v>
      </c>
      <c r="AW24" s="2">
        <v>3</v>
      </c>
      <c r="AX24" s="2">
        <v>3</v>
      </c>
      <c r="AY24" s="2">
        <v>3</v>
      </c>
      <c r="AZ24" s="2">
        <v>3</v>
      </c>
      <c r="BA24">
        <f t="shared" si="0"/>
        <v>0</v>
      </c>
      <c r="BB24">
        <f t="shared" si="1"/>
        <v>1</v>
      </c>
      <c r="BC24">
        <f t="shared" si="2"/>
        <v>0</v>
      </c>
    </row>
    <row r="25" spans="1:55" x14ac:dyDescent="0.25">
      <c r="A25">
        <f t="shared" ref="A25:A45" si="4">A24+1</f>
        <v>24</v>
      </c>
      <c r="B25" s="2">
        <v>46</v>
      </c>
      <c r="C25" s="2"/>
      <c r="D25" s="2">
        <v>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3</v>
      </c>
      <c r="Q25" s="2"/>
      <c r="R25" s="2">
        <v>3</v>
      </c>
      <c r="S25" s="2"/>
      <c r="T25" s="2">
        <v>3</v>
      </c>
      <c r="U25" s="2">
        <v>4</v>
      </c>
      <c r="V25" s="2"/>
      <c r="W25" s="2"/>
      <c r="X25" s="2"/>
      <c r="Y25" s="2">
        <v>2</v>
      </c>
      <c r="Z25" s="2">
        <v>2</v>
      </c>
      <c r="AA25" s="2">
        <v>2</v>
      </c>
      <c r="AB25" s="2">
        <v>2</v>
      </c>
      <c r="AC25" s="2">
        <v>2</v>
      </c>
      <c r="AD25" s="2">
        <v>2</v>
      </c>
      <c r="AE25" s="2">
        <v>4</v>
      </c>
      <c r="AF25" s="2">
        <v>4</v>
      </c>
      <c r="AG25" s="2">
        <v>3</v>
      </c>
      <c r="AH25" s="2">
        <v>3</v>
      </c>
      <c r="AI25" s="2">
        <v>1</v>
      </c>
      <c r="AJ25" s="2">
        <v>2</v>
      </c>
      <c r="AK25" s="2">
        <v>2</v>
      </c>
      <c r="AL25" s="2">
        <v>3</v>
      </c>
      <c r="AM25" s="2">
        <v>4</v>
      </c>
      <c r="AN25" s="2">
        <v>2</v>
      </c>
      <c r="AO25" s="2">
        <v>4</v>
      </c>
      <c r="AP25" s="2">
        <v>4</v>
      </c>
      <c r="AQ25" s="2">
        <v>4</v>
      </c>
      <c r="AR25" s="2">
        <v>2</v>
      </c>
      <c r="AS25" s="2">
        <v>3</v>
      </c>
      <c r="AT25" s="2">
        <v>3</v>
      </c>
      <c r="AU25" s="2">
        <v>1</v>
      </c>
      <c r="AV25" s="2">
        <v>2</v>
      </c>
      <c r="AW25" s="2">
        <v>4</v>
      </c>
      <c r="AX25" s="2">
        <v>2</v>
      </c>
      <c r="AY25" s="2">
        <v>4</v>
      </c>
      <c r="AZ25" s="2">
        <v>1</v>
      </c>
      <c r="BA25">
        <f t="shared" si="0"/>
        <v>0</v>
      </c>
      <c r="BB25">
        <f t="shared" si="1"/>
        <v>1</v>
      </c>
      <c r="BC25">
        <f t="shared" si="2"/>
        <v>0</v>
      </c>
    </row>
    <row r="26" spans="1:55" x14ac:dyDescent="0.25">
      <c r="A26">
        <f t="shared" si="4"/>
        <v>25</v>
      </c>
      <c r="B26" s="2">
        <v>47</v>
      </c>
      <c r="C26" s="2"/>
      <c r="D26" s="2">
        <v>2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3</v>
      </c>
      <c r="Q26" s="2">
        <v>3</v>
      </c>
      <c r="R26" s="2">
        <v>3</v>
      </c>
      <c r="S26" s="2">
        <v>4</v>
      </c>
      <c r="T26" s="2">
        <v>3</v>
      </c>
      <c r="U26" s="2">
        <v>3</v>
      </c>
      <c r="V26" s="2">
        <v>2</v>
      </c>
      <c r="W26" s="2">
        <v>1</v>
      </c>
      <c r="X26" s="2">
        <v>1</v>
      </c>
      <c r="Y26" s="2">
        <v>1</v>
      </c>
      <c r="Z26" s="2">
        <v>2</v>
      </c>
      <c r="AA26" s="2">
        <v>2</v>
      </c>
      <c r="AB26" s="2">
        <v>2</v>
      </c>
      <c r="AC26" s="2">
        <v>3</v>
      </c>
      <c r="AD26" s="2">
        <v>3</v>
      </c>
      <c r="AE26" s="2">
        <v>2</v>
      </c>
      <c r="AF26" s="2">
        <v>1</v>
      </c>
      <c r="AG26" s="2">
        <v>4</v>
      </c>
      <c r="AH26" s="2">
        <v>4</v>
      </c>
      <c r="AI26" s="2">
        <v>4</v>
      </c>
      <c r="AJ26" s="2">
        <v>4</v>
      </c>
      <c r="AK26" s="2">
        <v>4</v>
      </c>
      <c r="AL26" s="2">
        <v>3</v>
      </c>
      <c r="AM26" s="2">
        <v>3</v>
      </c>
      <c r="AN26" s="2">
        <v>4</v>
      </c>
      <c r="AO26" s="2">
        <v>4</v>
      </c>
      <c r="AP26" s="2">
        <v>4</v>
      </c>
      <c r="AQ26" s="2">
        <v>4</v>
      </c>
      <c r="AR26" s="2">
        <v>4</v>
      </c>
      <c r="AS26" s="2">
        <v>3</v>
      </c>
      <c r="AT26" s="2">
        <v>3</v>
      </c>
      <c r="AU26" s="2">
        <v>3</v>
      </c>
      <c r="AV26" s="2">
        <v>4</v>
      </c>
      <c r="AW26" s="2">
        <v>1</v>
      </c>
      <c r="AX26" s="2">
        <v>4</v>
      </c>
      <c r="AY26" s="2">
        <v>3</v>
      </c>
      <c r="AZ26" s="2">
        <v>4</v>
      </c>
      <c r="BA26">
        <f t="shared" si="0"/>
        <v>0</v>
      </c>
      <c r="BB26">
        <f t="shared" si="1"/>
        <v>1</v>
      </c>
      <c r="BC26">
        <f t="shared" si="2"/>
        <v>0</v>
      </c>
    </row>
    <row r="27" spans="1:55" x14ac:dyDescent="0.25">
      <c r="A27">
        <f t="shared" si="4"/>
        <v>26</v>
      </c>
      <c r="B27" s="2">
        <v>48</v>
      </c>
      <c r="C27" s="2"/>
      <c r="D27" s="2">
        <v>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5</v>
      </c>
      <c r="Q27" s="2">
        <v>5</v>
      </c>
      <c r="R27" s="2">
        <v>5</v>
      </c>
      <c r="S27" s="2">
        <v>5</v>
      </c>
      <c r="T27" s="2">
        <v>5</v>
      </c>
      <c r="U27" s="2">
        <v>2</v>
      </c>
      <c r="V27" s="2">
        <v>2</v>
      </c>
      <c r="W27" s="2">
        <v>2</v>
      </c>
      <c r="X27" s="2">
        <v>2</v>
      </c>
      <c r="Y27" s="2">
        <v>3</v>
      </c>
      <c r="Z27" s="2">
        <v>3</v>
      </c>
      <c r="AA27" s="2">
        <v>3</v>
      </c>
      <c r="AB27" s="2">
        <v>3</v>
      </c>
      <c r="AC27" s="2">
        <v>3</v>
      </c>
      <c r="AD27" s="2">
        <v>3</v>
      </c>
      <c r="AE27" s="2">
        <v>3</v>
      </c>
      <c r="AF27" s="2">
        <v>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>
        <f t="shared" si="0"/>
        <v>0</v>
      </c>
      <c r="BB27">
        <f t="shared" si="1"/>
        <v>1</v>
      </c>
      <c r="BC27">
        <f t="shared" si="2"/>
        <v>0</v>
      </c>
    </row>
    <row r="28" spans="1:55" x14ac:dyDescent="0.25">
      <c r="A28">
        <f t="shared" si="4"/>
        <v>27</v>
      </c>
      <c r="B28" s="2">
        <v>50</v>
      </c>
      <c r="C28" s="2"/>
      <c r="D28" s="2">
        <v>2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4</v>
      </c>
      <c r="Q28" s="2"/>
      <c r="R28" s="2">
        <v>3</v>
      </c>
      <c r="S28" s="2"/>
      <c r="T28" s="2">
        <v>3</v>
      </c>
      <c r="U28" s="2">
        <v>1</v>
      </c>
      <c r="V28" s="2">
        <v>1</v>
      </c>
      <c r="W28" s="2">
        <v>1</v>
      </c>
      <c r="X28" s="2">
        <v>1</v>
      </c>
      <c r="Y28" s="2">
        <v>3</v>
      </c>
      <c r="Z28" s="2">
        <v>4</v>
      </c>
      <c r="AA28" s="2">
        <v>4</v>
      </c>
      <c r="AB28" s="2">
        <v>4</v>
      </c>
      <c r="AC28" s="2">
        <v>4</v>
      </c>
      <c r="AD28" s="2">
        <v>4</v>
      </c>
      <c r="AE28" s="2">
        <v>3</v>
      </c>
      <c r="AF28" s="2">
        <v>4</v>
      </c>
      <c r="AG28" s="2">
        <v>4</v>
      </c>
      <c r="AH28" s="2">
        <v>4</v>
      </c>
      <c r="AI28" s="2">
        <v>2</v>
      </c>
      <c r="AJ28" s="2">
        <v>2</v>
      </c>
      <c r="AK28" s="2">
        <v>3</v>
      </c>
      <c r="AL28" s="2">
        <v>4</v>
      </c>
      <c r="AM28" s="2">
        <v>3</v>
      </c>
      <c r="AN28" s="2">
        <v>3</v>
      </c>
      <c r="AO28" s="2">
        <v>3</v>
      </c>
      <c r="AP28" s="2">
        <v>4</v>
      </c>
      <c r="AQ28" s="2">
        <v>3</v>
      </c>
      <c r="AR28" s="2">
        <v>3</v>
      </c>
      <c r="AS28" s="2">
        <v>2</v>
      </c>
      <c r="AT28" s="2">
        <v>3</v>
      </c>
      <c r="AU28" s="2">
        <v>3</v>
      </c>
      <c r="AV28" s="2">
        <v>3</v>
      </c>
      <c r="AW28" s="2">
        <v>3</v>
      </c>
      <c r="AX28" s="2">
        <v>4</v>
      </c>
      <c r="AY28" s="2">
        <v>3</v>
      </c>
      <c r="AZ28" s="2">
        <v>3</v>
      </c>
      <c r="BA28">
        <f t="shared" si="0"/>
        <v>0</v>
      </c>
      <c r="BB28">
        <f t="shared" si="1"/>
        <v>1</v>
      </c>
      <c r="BC28">
        <f t="shared" si="2"/>
        <v>0</v>
      </c>
    </row>
    <row r="29" spans="1:55" x14ac:dyDescent="0.25">
      <c r="A29">
        <f t="shared" si="4"/>
        <v>28</v>
      </c>
      <c r="B29" s="2">
        <v>51</v>
      </c>
      <c r="C29" s="2"/>
      <c r="D29" s="2">
        <v>2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2</v>
      </c>
      <c r="Q29" s="2">
        <v>2</v>
      </c>
      <c r="R29" s="2">
        <v>2</v>
      </c>
      <c r="S29" s="2">
        <v>2</v>
      </c>
      <c r="T29" s="2">
        <v>2</v>
      </c>
      <c r="U29" s="2">
        <v>4</v>
      </c>
      <c r="V29" s="2">
        <v>4</v>
      </c>
      <c r="W29" s="2">
        <v>4</v>
      </c>
      <c r="X29" s="2">
        <v>2</v>
      </c>
      <c r="Y29" s="2">
        <v>5</v>
      </c>
      <c r="Z29" s="2">
        <v>6</v>
      </c>
      <c r="AA29" s="2">
        <v>6</v>
      </c>
      <c r="AB29" s="2">
        <v>6</v>
      </c>
      <c r="AC29" s="2">
        <v>6</v>
      </c>
      <c r="AD29" s="2">
        <v>5</v>
      </c>
      <c r="AE29" s="2">
        <v>2</v>
      </c>
      <c r="AF29" s="2">
        <v>7</v>
      </c>
      <c r="AG29" s="2">
        <v>3</v>
      </c>
      <c r="AH29" s="2">
        <v>1</v>
      </c>
      <c r="AI29" s="2">
        <v>1</v>
      </c>
      <c r="AJ29" s="2">
        <v>1</v>
      </c>
      <c r="AK29" s="2">
        <v>1</v>
      </c>
      <c r="AL29" s="2">
        <v>4</v>
      </c>
      <c r="AM29" s="2">
        <v>2</v>
      </c>
      <c r="AN29" s="2">
        <v>2</v>
      </c>
      <c r="AO29" s="2">
        <v>4</v>
      </c>
      <c r="AP29" s="2">
        <v>4</v>
      </c>
      <c r="AQ29" s="2">
        <v>4</v>
      </c>
      <c r="AR29" s="2">
        <v>5</v>
      </c>
      <c r="AS29" s="2">
        <v>2</v>
      </c>
      <c r="AT29" s="2">
        <v>4</v>
      </c>
      <c r="AU29" s="2">
        <v>2</v>
      </c>
      <c r="AV29" s="2">
        <v>4</v>
      </c>
      <c r="AW29" s="2">
        <v>2</v>
      </c>
      <c r="AX29" s="2">
        <v>4</v>
      </c>
      <c r="AY29" s="2">
        <v>4</v>
      </c>
      <c r="AZ29" s="2">
        <v>3</v>
      </c>
      <c r="BA29">
        <f t="shared" si="0"/>
        <v>0</v>
      </c>
      <c r="BB29">
        <f t="shared" si="1"/>
        <v>1</v>
      </c>
      <c r="BC29">
        <f t="shared" si="2"/>
        <v>0</v>
      </c>
    </row>
    <row r="30" spans="1:55" x14ac:dyDescent="0.25">
      <c r="A30">
        <f t="shared" si="4"/>
        <v>29</v>
      </c>
      <c r="B30" s="2">
        <v>52</v>
      </c>
      <c r="C30" s="2"/>
      <c r="D30" s="2">
        <v>2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2</v>
      </c>
      <c r="Q30" s="2"/>
      <c r="R30" s="2">
        <v>2</v>
      </c>
      <c r="S30" s="2">
        <v>3</v>
      </c>
      <c r="T30" s="2">
        <v>2</v>
      </c>
      <c r="U30" s="2">
        <v>4</v>
      </c>
      <c r="V30" s="2">
        <v>4</v>
      </c>
      <c r="W30" s="2">
        <v>4</v>
      </c>
      <c r="X30" s="2">
        <v>2</v>
      </c>
      <c r="Y30" s="2">
        <v>4</v>
      </c>
      <c r="Z30" s="2">
        <v>3</v>
      </c>
      <c r="AA30" s="2">
        <v>3</v>
      </c>
      <c r="AB30" s="2">
        <v>3</v>
      </c>
      <c r="AC30" s="2">
        <v>4</v>
      </c>
      <c r="AD30" s="2">
        <v>3</v>
      </c>
      <c r="AE30" s="2">
        <v>3</v>
      </c>
      <c r="AF30" s="2">
        <v>5</v>
      </c>
      <c r="AG30" s="2">
        <v>4</v>
      </c>
      <c r="AH30" s="2">
        <v>4</v>
      </c>
      <c r="AI30" s="2">
        <v>3</v>
      </c>
      <c r="AJ30" s="2">
        <v>4</v>
      </c>
      <c r="AK30" s="2">
        <v>7</v>
      </c>
      <c r="AL30" s="2">
        <v>5</v>
      </c>
      <c r="AM30" s="2">
        <v>1</v>
      </c>
      <c r="AN30" s="2">
        <v>5</v>
      </c>
      <c r="AO30" s="2">
        <v>4</v>
      </c>
      <c r="AP30" s="2">
        <v>4</v>
      </c>
      <c r="AQ30" s="2">
        <v>2</v>
      </c>
      <c r="AR30" s="2">
        <v>5</v>
      </c>
      <c r="AS30" s="2">
        <v>1</v>
      </c>
      <c r="AT30" s="2">
        <v>5</v>
      </c>
      <c r="AU30" s="2">
        <v>1</v>
      </c>
      <c r="AV30" s="2">
        <v>5</v>
      </c>
      <c r="AW30" s="2">
        <v>1</v>
      </c>
      <c r="AX30" s="2">
        <v>5</v>
      </c>
      <c r="AY30" s="2">
        <v>2</v>
      </c>
      <c r="AZ30" s="2">
        <v>5</v>
      </c>
      <c r="BA30">
        <f t="shared" si="0"/>
        <v>0</v>
      </c>
      <c r="BB30">
        <f t="shared" si="1"/>
        <v>1</v>
      </c>
      <c r="BC30">
        <f t="shared" si="2"/>
        <v>0</v>
      </c>
    </row>
    <row r="31" spans="1:55" x14ac:dyDescent="0.25">
      <c r="A31">
        <f t="shared" si="4"/>
        <v>30</v>
      </c>
      <c r="B31" s="2">
        <v>53</v>
      </c>
      <c r="C31" s="2"/>
      <c r="D31" s="2">
        <v>1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2</v>
      </c>
      <c r="R31" s="2">
        <v>3</v>
      </c>
      <c r="S31" s="2">
        <v>3</v>
      </c>
      <c r="T31" s="2">
        <v>2</v>
      </c>
      <c r="U31" s="2">
        <v>3</v>
      </c>
      <c r="V31" s="2">
        <v>3</v>
      </c>
      <c r="W31" s="2">
        <v>2</v>
      </c>
      <c r="X31" s="2">
        <v>2</v>
      </c>
      <c r="Y31" s="2">
        <v>2</v>
      </c>
      <c r="Z31" s="2">
        <v>4</v>
      </c>
      <c r="AA31" s="2">
        <v>4</v>
      </c>
      <c r="AB31" s="2">
        <v>3</v>
      </c>
      <c r="AC31" s="2">
        <v>4</v>
      </c>
      <c r="AD31" s="2">
        <v>4</v>
      </c>
      <c r="AE31" s="2">
        <v>2</v>
      </c>
      <c r="AF31" s="2">
        <v>4</v>
      </c>
      <c r="AG31" s="2">
        <v>3</v>
      </c>
      <c r="AH31" s="2">
        <v>2</v>
      </c>
      <c r="AI31" s="2">
        <v>3</v>
      </c>
      <c r="AJ31" s="2">
        <v>3</v>
      </c>
      <c r="AK31" s="2">
        <v>2</v>
      </c>
      <c r="AL31" s="2">
        <v>5</v>
      </c>
      <c r="AM31" s="2">
        <v>2</v>
      </c>
      <c r="AN31" s="2">
        <v>3</v>
      </c>
      <c r="AO31" s="2">
        <v>3</v>
      </c>
      <c r="AP31" s="2">
        <v>4</v>
      </c>
      <c r="AQ31" s="2">
        <v>4</v>
      </c>
      <c r="AR31" s="2">
        <v>4</v>
      </c>
      <c r="AS31" s="2">
        <v>2</v>
      </c>
      <c r="AT31" s="2">
        <v>5</v>
      </c>
      <c r="AU31" s="2">
        <v>1</v>
      </c>
      <c r="AV31" s="2">
        <v>5</v>
      </c>
      <c r="AW31" s="2">
        <v>1</v>
      </c>
      <c r="AX31" s="2">
        <v>5</v>
      </c>
      <c r="AY31" s="2">
        <v>2</v>
      </c>
      <c r="AZ31" s="2">
        <v>5</v>
      </c>
      <c r="BA31">
        <f t="shared" si="0"/>
        <v>1</v>
      </c>
      <c r="BB31">
        <f t="shared" si="1"/>
        <v>0</v>
      </c>
      <c r="BC31">
        <f t="shared" si="2"/>
        <v>0</v>
      </c>
    </row>
    <row r="32" spans="1:55" x14ac:dyDescent="0.25">
      <c r="A32">
        <f t="shared" si="4"/>
        <v>31</v>
      </c>
      <c r="B32" s="2">
        <v>54</v>
      </c>
      <c r="C32" s="2"/>
      <c r="D32" s="2">
        <v>2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</v>
      </c>
      <c r="Q32" s="2">
        <v>3</v>
      </c>
      <c r="R32" s="2">
        <v>3</v>
      </c>
      <c r="S32" s="2">
        <v>3</v>
      </c>
      <c r="T32" s="2">
        <v>3</v>
      </c>
      <c r="U32" s="2">
        <v>3</v>
      </c>
      <c r="V32" s="2"/>
      <c r="W32" s="2">
        <v>3</v>
      </c>
      <c r="X32" s="2">
        <v>3</v>
      </c>
      <c r="Y32" s="2">
        <v>2</v>
      </c>
      <c r="Z32" s="2">
        <v>2</v>
      </c>
      <c r="AA32" s="2">
        <v>2</v>
      </c>
      <c r="AB32" s="2">
        <v>1</v>
      </c>
      <c r="AC32" s="2">
        <v>3</v>
      </c>
      <c r="AD32" s="2">
        <v>3</v>
      </c>
      <c r="AE32" s="2">
        <v>1</v>
      </c>
      <c r="AF32" s="2">
        <v>3</v>
      </c>
      <c r="AG32" s="2">
        <v>3</v>
      </c>
      <c r="AH32" s="2">
        <v>6</v>
      </c>
      <c r="AI32" s="2">
        <v>3</v>
      </c>
      <c r="AJ32" s="2">
        <v>3</v>
      </c>
      <c r="AK32" s="2">
        <v>3</v>
      </c>
      <c r="AL32" s="2">
        <v>2</v>
      </c>
      <c r="AM32" s="2">
        <v>2</v>
      </c>
      <c r="AN32" s="2">
        <v>4</v>
      </c>
      <c r="AO32" s="2">
        <v>4</v>
      </c>
      <c r="AP32" s="2">
        <v>5</v>
      </c>
      <c r="AQ32" s="2">
        <v>3</v>
      </c>
      <c r="AR32" s="2">
        <v>4</v>
      </c>
      <c r="AS32" s="2">
        <v>3</v>
      </c>
      <c r="AT32" s="2">
        <v>4</v>
      </c>
      <c r="AU32" s="2">
        <v>3</v>
      </c>
      <c r="AV32" s="2">
        <v>4</v>
      </c>
      <c r="AW32" s="2">
        <v>3</v>
      </c>
      <c r="AX32" s="2">
        <v>3</v>
      </c>
      <c r="AY32" s="2">
        <v>2</v>
      </c>
      <c r="AZ32" s="2">
        <v>3</v>
      </c>
      <c r="BA32">
        <f t="shared" si="0"/>
        <v>0</v>
      </c>
      <c r="BB32">
        <f t="shared" si="1"/>
        <v>1</v>
      </c>
      <c r="BC32">
        <f t="shared" si="2"/>
        <v>0</v>
      </c>
    </row>
    <row r="33" spans="1:55" x14ac:dyDescent="0.25">
      <c r="A33">
        <f t="shared" si="4"/>
        <v>32</v>
      </c>
      <c r="B33" s="2">
        <v>55</v>
      </c>
      <c r="C33" s="2"/>
      <c r="D33" s="2">
        <v>1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0</v>
      </c>
      <c r="P33" s="2">
        <v>4</v>
      </c>
      <c r="Q33" s="2">
        <v>4</v>
      </c>
      <c r="R33" s="2">
        <v>3</v>
      </c>
      <c r="S33" s="2">
        <v>2</v>
      </c>
      <c r="T33" s="2">
        <v>2</v>
      </c>
      <c r="U33" s="2">
        <v>3</v>
      </c>
      <c r="V33" s="2">
        <v>3</v>
      </c>
      <c r="W33" s="2">
        <v>2</v>
      </c>
      <c r="X33" s="2">
        <v>2</v>
      </c>
      <c r="Y33" s="2">
        <v>3</v>
      </c>
      <c r="Z33" s="2">
        <v>4</v>
      </c>
      <c r="AA33" s="2">
        <v>4</v>
      </c>
      <c r="AB33" s="2">
        <v>4</v>
      </c>
      <c r="AC33" s="2">
        <v>4</v>
      </c>
      <c r="AD33" s="2">
        <v>4</v>
      </c>
      <c r="AE33" s="2">
        <v>3</v>
      </c>
      <c r="AF33" s="2">
        <v>3</v>
      </c>
      <c r="AG33" s="2">
        <v>4</v>
      </c>
      <c r="AH33" s="2">
        <v>5</v>
      </c>
      <c r="AI33" s="2">
        <v>3</v>
      </c>
      <c r="AJ33" s="2">
        <v>3</v>
      </c>
      <c r="AK33" s="2">
        <v>3</v>
      </c>
      <c r="AL33" s="2">
        <v>4</v>
      </c>
      <c r="AM33" s="2">
        <v>2</v>
      </c>
      <c r="AN33" s="2">
        <v>3</v>
      </c>
      <c r="AO33" s="2">
        <v>3</v>
      </c>
      <c r="AP33" s="2">
        <v>5</v>
      </c>
      <c r="AQ33" s="2">
        <v>4</v>
      </c>
      <c r="AR33" s="2">
        <v>4</v>
      </c>
      <c r="AS33" s="2">
        <v>1</v>
      </c>
      <c r="AT33" s="2">
        <v>5</v>
      </c>
      <c r="AU33" s="2">
        <v>2</v>
      </c>
      <c r="AV33" s="2">
        <v>4</v>
      </c>
      <c r="AW33" s="2">
        <v>1</v>
      </c>
      <c r="AX33" s="2">
        <v>3</v>
      </c>
      <c r="AY33" s="2">
        <v>2</v>
      </c>
      <c r="AZ33" s="2">
        <v>4</v>
      </c>
      <c r="BA33">
        <f t="shared" si="0"/>
        <v>1</v>
      </c>
      <c r="BB33">
        <f t="shared" si="1"/>
        <v>0</v>
      </c>
      <c r="BC33">
        <f t="shared" si="2"/>
        <v>0</v>
      </c>
    </row>
    <row r="34" spans="1:55" x14ac:dyDescent="0.25">
      <c r="A34">
        <f t="shared" si="4"/>
        <v>33</v>
      </c>
      <c r="B34" s="2">
        <v>56</v>
      </c>
      <c r="C34" s="2"/>
      <c r="D34" s="2">
        <v>1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1</v>
      </c>
      <c r="M34" s="2">
        <v>0</v>
      </c>
      <c r="N34" s="2">
        <v>0</v>
      </c>
      <c r="O34" s="2">
        <v>0</v>
      </c>
      <c r="P34" s="2">
        <v>4</v>
      </c>
      <c r="Q34" s="2">
        <v>4</v>
      </c>
      <c r="R34" s="2">
        <v>3</v>
      </c>
      <c r="S34" s="2">
        <v>4</v>
      </c>
      <c r="T34" s="2">
        <v>4</v>
      </c>
      <c r="U34" s="2">
        <v>4</v>
      </c>
      <c r="V34" s="2">
        <v>4</v>
      </c>
      <c r="W34" s="2">
        <v>3</v>
      </c>
      <c r="X34" s="2">
        <v>3</v>
      </c>
      <c r="Y34" s="2">
        <v>2</v>
      </c>
      <c r="Z34" s="2">
        <v>2</v>
      </c>
      <c r="AA34" s="2">
        <v>3</v>
      </c>
      <c r="AB34" s="2">
        <v>3</v>
      </c>
      <c r="AC34" s="2">
        <v>4</v>
      </c>
      <c r="AD34" s="2">
        <v>4</v>
      </c>
      <c r="AE34" s="2">
        <v>7</v>
      </c>
      <c r="AF34" s="2">
        <v>3</v>
      </c>
      <c r="AG34" s="2"/>
      <c r="AH34" s="2">
        <v>3</v>
      </c>
      <c r="AI34" s="2">
        <v>3</v>
      </c>
      <c r="AJ34" s="2">
        <v>2</v>
      </c>
      <c r="AK34" s="2">
        <v>2</v>
      </c>
      <c r="AL34" s="2">
        <v>5</v>
      </c>
      <c r="AM34" s="2">
        <v>2</v>
      </c>
      <c r="AN34" s="2">
        <v>4</v>
      </c>
      <c r="AO34" s="2">
        <v>2</v>
      </c>
      <c r="AP34" s="2">
        <v>5</v>
      </c>
      <c r="AQ34" s="2">
        <v>5</v>
      </c>
      <c r="AR34" s="2">
        <v>5</v>
      </c>
      <c r="AS34" s="2">
        <v>2</v>
      </c>
      <c r="AT34" s="2">
        <v>5</v>
      </c>
      <c r="AU34" s="2">
        <v>1</v>
      </c>
      <c r="AV34" s="2">
        <v>5</v>
      </c>
      <c r="AW34" s="2">
        <v>2</v>
      </c>
      <c r="AX34" s="2">
        <v>4</v>
      </c>
      <c r="AY34" s="2">
        <v>3</v>
      </c>
      <c r="AZ34" s="2">
        <v>5</v>
      </c>
      <c r="BA34">
        <f t="shared" si="0"/>
        <v>1</v>
      </c>
      <c r="BB34">
        <f t="shared" si="1"/>
        <v>0</v>
      </c>
      <c r="BC34">
        <f t="shared" si="2"/>
        <v>0</v>
      </c>
    </row>
    <row r="35" spans="1:55" x14ac:dyDescent="0.25">
      <c r="A35">
        <f t="shared" si="4"/>
        <v>34</v>
      </c>
      <c r="B35" s="2">
        <v>57</v>
      </c>
      <c r="C35" s="2"/>
      <c r="D35" s="2">
        <v>1</v>
      </c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0</v>
      </c>
      <c r="P35" s="2">
        <v>3</v>
      </c>
      <c r="Q35" s="2">
        <v>3</v>
      </c>
      <c r="R35" s="2">
        <v>3</v>
      </c>
      <c r="S35" s="2">
        <v>2</v>
      </c>
      <c r="T35" s="2">
        <v>3</v>
      </c>
      <c r="U35" s="2">
        <v>2</v>
      </c>
      <c r="V35" s="2">
        <v>1</v>
      </c>
      <c r="W35" s="2">
        <v>1</v>
      </c>
      <c r="X35" s="2">
        <v>1</v>
      </c>
      <c r="Y35" s="2">
        <v>3</v>
      </c>
      <c r="Z35" s="2">
        <v>2</v>
      </c>
      <c r="AA35" s="2">
        <v>3</v>
      </c>
      <c r="AB35" s="2">
        <v>2</v>
      </c>
      <c r="AC35" s="2">
        <v>2</v>
      </c>
      <c r="AD35" s="2">
        <v>3</v>
      </c>
      <c r="AE35" s="2">
        <v>2</v>
      </c>
      <c r="AF35" s="2">
        <v>2</v>
      </c>
      <c r="AG35" s="2">
        <v>5</v>
      </c>
      <c r="AH35" s="2">
        <v>6</v>
      </c>
      <c r="AI35" s="2">
        <v>4</v>
      </c>
      <c r="AJ35" s="2">
        <v>4</v>
      </c>
      <c r="AK35" s="2">
        <v>3</v>
      </c>
      <c r="AL35" s="2">
        <v>5</v>
      </c>
      <c r="AM35" s="2">
        <v>2</v>
      </c>
      <c r="AN35" s="2">
        <v>5</v>
      </c>
      <c r="AO35" s="2">
        <v>2</v>
      </c>
      <c r="AP35" s="2">
        <v>5</v>
      </c>
      <c r="AQ35" s="2">
        <v>4</v>
      </c>
      <c r="AR35" s="2">
        <v>4</v>
      </c>
      <c r="AS35" s="2">
        <v>2</v>
      </c>
      <c r="AT35" s="2">
        <v>5</v>
      </c>
      <c r="AU35" s="2">
        <v>1</v>
      </c>
      <c r="AV35" s="2">
        <v>4</v>
      </c>
      <c r="AW35" s="2">
        <v>1</v>
      </c>
      <c r="AX35" s="2">
        <v>5</v>
      </c>
      <c r="AY35" s="2">
        <v>1</v>
      </c>
      <c r="AZ35" s="2">
        <v>5</v>
      </c>
      <c r="BA35">
        <f t="shared" si="0"/>
        <v>1</v>
      </c>
      <c r="BB35">
        <f t="shared" si="1"/>
        <v>0</v>
      </c>
      <c r="BC35">
        <f t="shared" si="2"/>
        <v>0</v>
      </c>
    </row>
    <row r="36" spans="1:55" x14ac:dyDescent="0.25">
      <c r="A36">
        <f t="shared" si="4"/>
        <v>35</v>
      </c>
      <c r="B36" s="2">
        <v>58</v>
      </c>
      <c r="C36" s="2"/>
      <c r="D36" s="2">
        <v>1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1</v>
      </c>
      <c r="M36" s="2">
        <v>0</v>
      </c>
      <c r="N36" s="2">
        <v>0</v>
      </c>
      <c r="O36" s="2">
        <v>0</v>
      </c>
      <c r="P36" s="2">
        <v>2</v>
      </c>
      <c r="Q36" s="2">
        <v>3</v>
      </c>
      <c r="R36" s="2">
        <v>3</v>
      </c>
      <c r="S36" s="2">
        <v>3</v>
      </c>
      <c r="T36" s="2">
        <v>3</v>
      </c>
      <c r="U36" s="2">
        <v>3</v>
      </c>
      <c r="V36" s="2">
        <v>2</v>
      </c>
      <c r="W36" s="2">
        <v>1</v>
      </c>
      <c r="X36" s="2">
        <v>1</v>
      </c>
      <c r="Y36" s="2">
        <v>1</v>
      </c>
      <c r="Z36" s="2">
        <v>3</v>
      </c>
      <c r="AA36" s="2">
        <v>3</v>
      </c>
      <c r="AB36" s="2">
        <v>3</v>
      </c>
      <c r="AC36" s="2">
        <v>4</v>
      </c>
      <c r="AD36" s="2">
        <v>3</v>
      </c>
      <c r="AE36" s="2">
        <v>1</v>
      </c>
      <c r="AF36" s="2">
        <v>2</v>
      </c>
      <c r="AG36" s="2"/>
      <c r="AH36" s="2">
        <v>2</v>
      </c>
      <c r="AI36" s="2">
        <v>2</v>
      </c>
      <c r="AJ36" s="2">
        <v>3</v>
      </c>
      <c r="AK36" s="2">
        <v>3</v>
      </c>
      <c r="AL36" s="2">
        <v>5</v>
      </c>
      <c r="AM36" s="2">
        <v>2</v>
      </c>
      <c r="AN36" s="2">
        <v>3</v>
      </c>
      <c r="AO36" s="2">
        <v>3</v>
      </c>
      <c r="AP36" s="2">
        <v>5</v>
      </c>
      <c r="AQ36" s="2">
        <v>5</v>
      </c>
      <c r="AR36" s="2">
        <v>4</v>
      </c>
      <c r="AS36" s="2">
        <v>3</v>
      </c>
      <c r="AT36" s="2">
        <v>4</v>
      </c>
      <c r="AU36" s="2">
        <v>1</v>
      </c>
      <c r="AV36" s="2">
        <v>3</v>
      </c>
      <c r="AW36" s="2">
        <v>1</v>
      </c>
      <c r="AX36" s="2">
        <v>4</v>
      </c>
      <c r="AY36" s="2">
        <v>2</v>
      </c>
      <c r="AZ36" s="2">
        <v>5</v>
      </c>
      <c r="BA36">
        <f t="shared" si="0"/>
        <v>1</v>
      </c>
      <c r="BB36">
        <f t="shared" si="1"/>
        <v>0</v>
      </c>
      <c r="BC36">
        <f t="shared" si="2"/>
        <v>0</v>
      </c>
    </row>
    <row r="37" spans="1:55" x14ac:dyDescent="0.25">
      <c r="A37">
        <f t="shared" si="4"/>
        <v>36</v>
      </c>
      <c r="B37" s="2">
        <v>59</v>
      </c>
      <c r="C37" s="2"/>
      <c r="D37" s="2">
        <v>1</v>
      </c>
      <c r="E37" s="2">
        <v>1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2</v>
      </c>
      <c r="Q37" s="2">
        <v>3</v>
      </c>
      <c r="R37" s="2">
        <v>3</v>
      </c>
      <c r="S37" s="2">
        <v>4</v>
      </c>
      <c r="T37" s="2">
        <v>2</v>
      </c>
      <c r="U37" s="2">
        <v>2</v>
      </c>
      <c r="V37" s="2">
        <v>2</v>
      </c>
      <c r="W37" s="2">
        <v>1</v>
      </c>
      <c r="X37" s="2">
        <v>1</v>
      </c>
      <c r="Y37" s="2">
        <v>3</v>
      </c>
      <c r="Z37" s="2">
        <v>5</v>
      </c>
      <c r="AA37" s="2">
        <v>5</v>
      </c>
      <c r="AB37" s="2">
        <v>5</v>
      </c>
      <c r="AC37" s="2">
        <v>4</v>
      </c>
      <c r="AD37" s="2">
        <v>3</v>
      </c>
      <c r="AE37" s="2">
        <v>3</v>
      </c>
      <c r="AF37" s="2">
        <v>3</v>
      </c>
      <c r="AG37" s="2">
        <v>5</v>
      </c>
      <c r="AH37" s="2">
        <v>3</v>
      </c>
      <c r="AI37" s="2">
        <v>2</v>
      </c>
      <c r="AJ37" s="2">
        <v>3</v>
      </c>
      <c r="AK37" s="2">
        <v>2</v>
      </c>
      <c r="AL37" s="2">
        <v>4</v>
      </c>
      <c r="AM37" s="2">
        <v>2</v>
      </c>
      <c r="AN37" s="2">
        <v>3</v>
      </c>
      <c r="AO37" s="2">
        <v>2</v>
      </c>
      <c r="AP37" s="2">
        <v>4</v>
      </c>
      <c r="AQ37" s="2">
        <v>3</v>
      </c>
      <c r="AR37" s="2">
        <v>4</v>
      </c>
      <c r="AS37" s="2">
        <v>1</v>
      </c>
      <c r="AT37" s="2">
        <v>4</v>
      </c>
      <c r="AU37" s="2">
        <v>1</v>
      </c>
      <c r="AV37" s="2">
        <v>4</v>
      </c>
      <c r="AW37" s="2">
        <v>1</v>
      </c>
      <c r="AX37" s="2">
        <v>4</v>
      </c>
      <c r="AY37" s="2">
        <v>1</v>
      </c>
      <c r="AZ37" s="2">
        <v>4</v>
      </c>
      <c r="BA37">
        <f t="shared" si="0"/>
        <v>1</v>
      </c>
      <c r="BB37">
        <f t="shared" si="1"/>
        <v>0</v>
      </c>
      <c r="BC37">
        <f t="shared" si="2"/>
        <v>0</v>
      </c>
    </row>
    <row r="38" spans="1:55" x14ac:dyDescent="0.25">
      <c r="A38">
        <f t="shared" si="4"/>
        <v>37</v>
      </c>
      <c r="B38" s="2">
        <v>60</v>
      </c>
      <c r="C38" s="2"/>
      <c r="D38" s="2">
        <v>1</v>
      </c>
      <c r="E38" s="2">
        <v>1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0</v>
      </c>
      <c r="O38" s="2">
        <v>0</v>
      </c>
      <c r="P38" s="2">
        <v>2</v>
      </c>
      <c r="Q38" s="2">
        <v>1</v>
      </c>
      <c r="R38" s="2">
        <v>2</v>
      </c>
      <c r="S38" s="2">
        <v>3</v>
      </c>
      <c r="T38" s="2">
        <v>2</v>
      </c>
      <c r="U38" s="2">
        <v>3</v>
      </c>
      <c r="V38" s="2">
        <v>4</v>
      </c>
      <c r="W38" s="2">
        <v>3</v>
      </c>
      <c r="X38" s="2">
        <v>3</v>
      </c>
      <c r="Y38" s="2">
        <v>1</v>
      </c>
      <c r="Z38" s="2">
        <v>2</v>
      </c>
      <c r="AA38" s="2">
        <v>3</v>
      </c>
      <c r="AB38" s="2">
        <v>2</v>
      </c>
      <c r="AC38" s="2">
        <v>2</v>
      </c>
      <c r="AD38" s="2">
        <v>3</v>
      </c>
      <c r="AE38" s="2">
        <v>1</v>
      </c>
      <c r="AF38" s="2">
        <v>1</v>
      </c>
      <c r="AG38" s="2">
        <v>4</v>
      </c>
      <c r="AH38" s="2">
        <v>6</v>
      </c>
      <c r="AI38" s="2">
        <v>3</v>
      </c>
      <c r="AJ38" s="2">
        <v>3</v>
      </c>
      <c r="AK38" s="2">
        <v>3</v>
      </c>
      <c r="AL38" s="2">
        <v>5</v>
      </c>
      <c r="AM38" s="2">
        <v>2</v>
      </c>
      <c r="AN38" s="2">
        <v>4</v>
      </c>
      <c r="AO38" s="2">
        <v>2</v>
      </c>
      <c r="AP38" s="2">
        <v>4</v>
      </c>
      <c r="AQ38" s="2">
        <v>2</v>
      </c>
      <c r="AR38" s="2">
        <v>5</v>
      </c>
      <c r="AS38" s="2">
        <v>2</v>
      </c>
      <c r="AT38" s="2">
        <v>5</v>
      </c>
      <c r="AU38" s="2">
        <v>1</v>
      </c>
      <c r="AV38" s="2">
        <v>5</v>
      </c>
      <c r="AW38" s="2">
        <v>1</v>
      </c>
      <c r="AX38" s="2">
        <v>5</v>
      </c>
      <c r="AY38" s="2">
        <v>2</v>
      </c>
      <c r="AZ38" s="2">
        <v>4</v>
      </c>
      <c r="BA38">
        <f t="shared" si="0"/>
        <v>1</v>
      </c>
      <c r="BB38">
        <f t="shared" si="1"/>
        <v>0</v>
      </c>
      <c r="BC38">
        <f t="shared" si="2"/>
        <v>0</v>
      </c>
    </row>
    <row r="39" spans="1:55" x14ac:dyDescent="0.25">
      <c r="A39">
        <f t="shared" si="4"/>
        <v>38</v>
      </c>
      <c r="B39" s="2">
        <v>61</v>
      </c>
      <c r="C39" s="2"/>
      <c r="D39" s="2">
        <v>1</v>
      </c>
      <c r="E39" s="2">
        <v>1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1</v>
      </c>
      <c r="Q39" s="2">
        <v>2</v>
      </c>
      <c r="R39" s="2">
        <v>3</v>
      </c>
      <c r="S39" s="2">
        <v>4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2</v>
      </c>
      <c r="Z39" s="2">
        <v>5</v>
      </c>
      <c r="AA39" s="2">
        <v>5</v>
      </c>
      <c r="AB39" s="2">
        <v>3</v>
      </c>
      <c r="AC39" s="2">
        <v>5</v>
      </c>
      <c r="AD39" s="2">
        <v>3</v>
      </c>
      <c r="AE39" s="2">
        <v>3</v>
      </c>
      <c r="AF39" s="2">
        <v>3</v>
      </c>
      <c r="AG39" s="2">
        <v>4</v>
      </c>
      <c r="AH39" s="2">
        <v>4</v>
      </c>
      <c r="AI39" s="2">
        <v>2</v>
      </c>
      <c r="AJ39" s="2">
        <v>2</v>
      </c>
      <c r="AK39" s="2">
        <v>2</v>
      </c>
      <c r="AL39" s="2">
        <v>9999</v>
      </c>
      <c r="AM39" s="2">
        <v>2</v>
      </c>
      <c r="AN39" s="2">
        <v>3</v>
      </c>
      <c r="AO39" s="2">
        <v>4</v>
      </c>
      <c r="AP39" s="2">
        <v>4</v>
      </c>
      <c r="AQ39" s="2">
        <v>9999</v>
      </c>
      <c r="AR39" s="2">
        <v>4</v>
      </c>
      <c r="AS39" s="2">
        <v>9999</v>
      </c>
      <c r="AT39" s="2">
        <v>4</v>
      </c>
      <c r="AU39" s="2">
        <v>2</v>
      </c>
      <c r="AV39" s="2">
        <v>4</v>
      </c>
      <c r="AW39" s="2">
        <v>3</v>
      </c>
      <c r="AX39" s="2">
        <v>3</v>
      </c>
      <c r="AY39" s="2">
        <v>4</v>
      </c>
      <c r="AZ39" s="2">
        <v>3</v>
      </c>
      <c r="BA39">
        <f t="shared" si="0"/>
        <v>1</v>
      </c>
      <c r="BB39">
        <f t="shared" si="1"/>
        <v>0</v>
      </c>
      <c r="BC39">
        <f t="shared" si="2"/>
        <v>0</v>
      </c>
    </row>
    <row r="40" spans="1:55" x14ac:dyDescent="0.25">
      <c r="A40">
        <f t="shared" si="4"/>
        <v>39</v>
      </c>
      <c r="B40" s="2">
        <v>62</v>
      </c>
      <c r="C40" s="2"/>
      <c r="D40" s="2">
        <v>2</v>
      </c>
      <c r="E40" s="2">
        <v>0</v>
      </c>
      <c r="F40" s="2">
        <v>1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0</v>
      </c>
      <c r="P40" s="2">
        <v>3</v>
      </c>
      <c r="Q40" s="2">
        <v>3</v>
      </c>
      <c r="R40" s="2">
        <v>2</v>
      </c>
      <c r="S40" s="2">
        <v>3</v>
      </c>
      <c r="T40" s="2">
        <v>3</v>
      </c>
      <c r="U40" s="2">
        <v>2</v>
      </c>
      <c r="V40" s="2">
        <v>3</v>
      </c>
      <c r="W40" s="2">
        <v>2</v>
      </c>
      <c r="X40" s="2">
        <v>1</v>
      </c>
      <c r="Y40" s="2">
        <v>2</v>
      </c>
      <c r="Z40" s="2">
        <v>2</v>
      </c>
      <c r="AA40" s="2">
        <v>2</v>
      </c>
      <c r="AB40" s="2">
        <v>2</v>
      </c>
      <c r="AC40" s="2">
        <v>3</v>
      </c>
      <c r="AD40" s="2">
        <v>2</v>
      </c>
      <c r="AE40" s="2">
        <v>1</v>
      </c>
      <c r="AF40" s="2">
        <v>3</v>
      </c>
      <c r="AG40" s="2">
        <v>3</v>
      </c>
      <c r="AH40" s="2">
        <v>7</v>
      </c>
      <c r="AI40" s="2">
        <v>2</v>
      </c>
      <c r="AJ40" s="2">
        <v>3</v>
      </c>
      <c r="AK40" s="2">
        <v>3</v>
      </c>
      <c r="AL40" s="2">
        <v>4</v>
      </c>
      <c r="AM40" s="2">
        <v>1</v>
      </c>
      <c r="AN40" s="2">
        <v>5</v>
      </c>
      <c r="AO40" s="2">
        <v>5</v>
      </c>
      <c r="AP40" s="2">
        <v>5</v>
      </c>
      <c r="AQ40" s="2">
        <v>5</v>
      </c>
      <c r="AR40" s="2">
        <v>5</v>
      </c>
      <c r="AS40" s="2">
        <v>1</v>
      </c>
      <c r="AT40" s="2">
        <v>5</v>
      </c>
      <c r="AU40" s="2">
        <v>1</v>
      </c>
      <c r="AV40" s="2">
        <v>5</v>
      </c>
      <c r="AW40" s="2">
        <v>1</v>
      </c>
      <c r="AX40" s="2">
        <v>5</v>
      </c>
      <c r="AY40" s="2">
        <v>2</v>
      </c>
      <c r="AZ40" s="2">
        <v>5</v>
      </c>
      <c r="BA40">
        <f t="shared" si="0"/>
        <v>0</v>
      </c>
      <c r="BB40">
        <f t="shared" si="1"/>
        <v>1</v>
      </c>
      <c r="BC40">
        <f t="shared" si="2"/>
        <v>0</v>
      </c>
    </row>
    <row r="41" spans="1:55" x14ac:dyDescent="0.25">
      <c r="A41">
        <f t="shared" si="4"/>
        <v>40</v>
      </c>
      <c r="B41" s="2">
        <v>63</v>
      </c>
      <c r="C41" s="2"/>
      <c r="D41" s="2">
        <v>2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0</v>
      </c>
      <c r="N41" s="2">
        <v>0</v>
      </c>
      <c r="O41" s="2">
        <v>0</v>
      </c>
      <c r="P41" s="2">
        <v>4</v>
      </c>
      <c r="Q41" s="2">
        <v>4</v>
      </c>
      <c r="R41" s="2">
        <v>4</v>
      </c>
      <c r="S41" s="2">
        <v>4</v>
      </c>
      <c r="T41" s="2">
        <v>4</v>
      </c>
      <c r="U41" s="2">
        <v>3</v>
      </c>
      <c r="V41" s="2">
        <v>2</v>
      </c>
      <c r="W41" s="2">
        <v>1</v>
      </c>
      <c r="X41" s="2">
        <v>1</v>
      </c>
      <c r="Y41" s="2">
        <v>1</v>
      </c>
      <c r="Z41" s="2">
        <v>2</v>
      </c>
      <c r="AA41" s="2">
        <v>3</v>
      </c>
      <c r="AB41" s="2">
        <v>2</v>
      </c>
      <c r="AC41" s="2">
        <v>5</v>
      </c>
      <c r="AD41" s="2">
        <v>4</v>
      </c>
      <c r="AE41" s="2">
        <v>3</v>
      </c>
      <c r="AF41" s="2">
        <v>3</v>
      </c>
      <c r="AG41" s="2">
        <v>5</v>
      </c>
      <c r="AH41" s="2">
        <v>6</v>
      </c>
      <c r="AI41" s="2">
        <v>5</v>
      </c>
      <c r="AJ41" s="2">
        <v>6</v>
      </c>
      <c r="AK41" s="2">
        <v>3</v>
      </c>
      <c r="AL41" s="2">
        <v>4</v>
      </c>
      <c r="AM41" s="2">
        <v>3</v>
      </c>
      <c r="AN41" s="2">
        <v>4</v>
      </c>
      <c r="AO41" s="2">
        <v>2</v>
      </c>
      <c r="AP41" s="2">
        <v>5</v>
      </c>
      <c r="AQ41" s="2">
        <v>3</v>
      </c>
      <c r="AR41" s="2">
        <v>3</v>
      </c>
      <c r="AS41" s="2">
        <v>1</v>
      </c>
      <c r="AT41" s="2">
        <v>5</v>
      </c>
      <c r="AU41" s="2">
        <v>1</v>
      </c>
      <c r="AV41" s="2">
        <v>5</v>
      </c>
      <c r="AW41" s="2">
        <v>1</v>
      </c>
      <c r="AX41" s="2">
        <v>4</v>
      </c>
      <c r="AY41" s="2">
        <v>1</v>
      </c>
      <c r="AZ41" s="2">
        <v>4</v>
      </c>
      <c r="BA41">
        <f t="shared" si="0"/>
        <v>0</v>
      </c>
      <c r="BB41">
        <f t="shared" si="1"/>
        <v>1</v>
      </c>
      <c r="BC41">
        <f t="shared" si="2"/>
        <v>0</v>
      </c>
    </row>
    <row r="42" spans="1:55" x14ac:dyDescent="0.25">
      <c r="A42">
        <f t="shared" si="4"/>
        <v>41</v>
      </c>
      <c r="B42" s="2">
        <v>64</v>
      </c>
      <c r="C42" s="2"/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2">
        <v>3</v>
      </c>
      <c r="Q42" s="2">
        <v>3</v>
      </c>
      <c r="R42" s="2">
        <v>2</v>
      </c>
      <c r="S42" s="2">
        <v>4</v>
      </c>
      <c r="T42" s="2">
        <v>3</v>
      </c>
      <c r="U42" s="2">
        <v>3</v>
      </c>
      <c r="V42" s="2">
        <v>3</v>
      </c>
      <c r="W42" s="2">
        <v>2</v>
      </c>
      <c r="X42" s="2">
        <v>1</v>
      </c>
      <c r="Y42" s="2">
        <v>3</v>
      </c>
      <c r="Z42" s="2"/>
      <c r="AA42" s="2"/>
      <c r="AB42" s="2"/>
      <c r="AC42" s="2"/>
      <c r="AD42" s="2"/>
      <c r="AE42" s="2">
        <v>2</v>
      </c>
      <c r="AF42" s="2">
        <v>2</v>
      </c>
      <c r="AG42" s="2"/>
      <c r="AH42" s="2">
        <v>4</v>
      </c>
      <c r="AI42" s="2">
        <v>2</v>
      </c>
      <c r="AJ42" s="2">
        <v>3</v>
      </c>
      <c r="AK42" s="2">
        <v>3</v>
      </c>
      <c r="AL42" s="2">
        <v>3</v>
      </c>
      <c r="AM42" s="2">
        <v>2</v>
      </c>
      <c r="AN42" s="2">
        <v>4</v>
      </c>
      <c r="AO42" s="2">
        <v>4</v>
      </c>
      <c r="AP42" s="2">
        <v>5</v>
      </c>
      <c r="AQ42" s="2">
        <v>2</v>
      </c>
      <c r="AR42" s="2">
        <v>4</v>
      </c>
      <c r="AS42" s="2">
        <v>1</v>
      </c>
      <c r="AT42" s="2">
        <v>5</v>
      </c>
      <c r="AU42" s="2">
        <v>1</v>
      </c>
      <c r="AV42" s="2">
        <v>5</v>
      </c>
      <c r="AW42" s="2">
        <v>2</v>
      </c>
      <c r="AX42" s="2">
        <v>4</v>
      </c>
      <c r="AY42" s="2">
        <v>2</v>
      </c>
      <c r="AZ42" s="2">
        <v>5</v>
      </c>
      <c r="BA42">
        <f t="shared" si="0"/>
        <v>1</v>
      </c>
      <c r="BB42">
        <f t="shared" si="1"/>
        <v>0</v>
      </c>
      <c r="BC42">
        <f t="shared" si="2"/>
        <v>0</v>
      </c>
    </row>
    <row r="43" spans="1:55" x14ac:dyDescent="0.25">
      <c r="A43">
        <f t="shared" si="4"/>
        <v>42</v>
      </c>
      <c r="B43">
        <v>3</v>
      </c>
      <c r="C43">
        <v>1902</v>
      </c>
      <c r="D43" s="2">
        <v>3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3</v>
      </c>
      <c r="Q43">
        <v>3</v>
      </c>
      <c r="R43">
        <v>3</v>
      </c>
      <c r="S43">
        <v>3</v>
      </c>
      <c r="T43">
        <v>2</v>
      </c>
      <c r="U43">
        <v>4</v>
      </c>
      <c r="V43">
        <v>4</v>
      </c>
      <c r="W43">
        <v>3</v>
      </c>
      <c r="X43">
        <v>2</v>
      </c>
      <c r="Y43">
        <v>2</v>
      </c>
      <c r="Z43">
        <v>3</v>
      </c>
      <c r="AA43">
        <v>3</v>
      </c>
      <c r="AB43">
        <v>2</v>
      </c>
      <c r="AC43">
        <v>3</v>
      </c>
      <c r="AE43">
        <v>7</v>
      </c>
      <c r="AF43">
        <v>5</v>
      </c>
      <c r="AG43">
        <v>4</v>
      </c>
      <c r="AH43">
        <v>3</v>
      </c>
      <c r="AI43">
        <v>3</v>
      </c>
      <c r="AJ43">
        <v>3</v>
      </c>
      <c r="AK43">
        <v>2</v>
      </c>
      <c r="AL43">
        <v>5</v>
      </c>
      <c r="AM43">
        <v>2</v>
      </c>
      <c r="AN43">
        <v>3</v>
      </c>
      <c r="AO43">
        <v>2</v>
      </c>
      <c r="AP43">
        <v>4</v>
      </c>
      <c r="AQ43">
        <v>4</v>
      </c>
      <c r="AR43">
        <v>4</v>
      </c>
      <c r="AS43">
        <v>1</v>
      </c>
      <c r="AT43">
        <v>5</v>
      </c>
      <c r="AU43">
        <v>1</v>
      </c>
      <c r="AV43">
        <v>4</v>
      </c>
      <c r="AW43">
        <v>1</v>
      </c>
      <c r="AX43">
        <v>3</v>
      </c>
      <c r="AY43">
        <v>1</v>
      </c>
      <c r="AZ43">
        <v>4</v>
      </c>
      <c r="BA43">
        <f t="shared" si="0"/>
        <v>0</v>
      </c>
      <c r="BB43">
        <f t="shared" si="1"/>
        <v>0</v>
      </c>
      <c r="BC43">
        <f t="shared" si="2"/>
        <v>1</v>
      </c>
    </row>
    <row r="44" spans="1:55" x14ac:dyDescent="0.25">
      <c r="A44">
        <f t="shared" si="4"/>
        <v>43</v>
      </c>
      <c r="B44">
        <v>5</v>
      </c>
      <c r="C44">
        <v>2014</v>
      </c>
      <c r="D44" s="2">
        <v>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4</v>
      </c>
      <c r="Q44">
        <v>3</v>
      </c>
      <c r="R44">
        <v>3</v>
      </c>
      <c r="S44">
        <v>3</v>
      </c>
      <c r="T44">
        <v>4</v>
      </c>
      <c r="U44">
        <v>3</v>
      </c>
      <c r="V44">
        <v>3</v>
      </c>
      <c r="W44">
        <v>3</v>
      </c>
      <c r="X44">
        <v>3</v>
      </c>
      <c r="Y44">
        <v>3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3</v>
      </c>
      <c r="AF44">
        <v>4</v>
      </c>
      <c r="AG44">
        <v>4</v>
      </c>
      <c r="AH44">
        <v>4</v>
      </c>
      <c r="AI44">
        <v>2</v>
      </c>
      <c r="AJ44">
        <v>2</v>
      </c>
      <c r="AK44">
        <v>4</v>
      </c>
      <c r="AL44">
        <v>4</v>
      </c>
      <c r="AM44">
        <v>2</v>
      </c>
      <c r="AN44">
        <v>3</v>
      </c>
      <c r="AO44">
        <v>2</v>
      </c>
      <c r="AP44">
        <v>2</v>
      </c>
      <c r="AQ44">
        <v>3</v>
      </c>
      <c r="AR44">
        <v>4</v>
      </c>
      <c r="AS44">
        <v>2</v>
      </c>
      <c r="AT44">
        <v>5</v>
      </c>
      <c r="AU44">
        <v>4</v>
      </c>
      <c r="AV44">
        <v>4</v>
      </c>
      <c r="AW44">
        <v>2</v>
      </c>
      <c r="AX44">
        <v>4</v>
      </c>
      <c r="AY44">
        <v>2</v>
      </c>
      <c r="AZ44">
        <v>4</v>
      </c>
      <c r="BA44">
        <f t="shared" si="0"/>
        <v>0</v>
      </c>
      <c r="BB44">
        <f t="shared" si="1"/>
        <v>0</v>
      </c>
      <c r="BC44">
        <f t="shared" si="2"/>
        <v>1</v>
      </c>
    </row>
    <row r="45" spans="1:55" x14ac:dyDescent="0.25">
      <c r="A45" s="2">
        <f t="shared" si="4"/>
        <v>44</v>
      </c>
      <c r="B45">
        <v>7</v>
      </c>
      <c r="C45">
        <v>2002</v>
      </c>
      <c r="D45" s="2">
        <v>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4</v>
      </c>
      <c r="Q45">
        <v>3</v>
      </c>
      <c r="R45">
        <v>3</v>
      </c>
      <c r="S45">
        <v>3</v>
      </c>
      <c r="T45">
        <v>4</v>
      </c>
      <c r="U45">
        <v>4</v>
      </c>
      <c r="V45">
        <v>3</v>
      </c>
      <c r="W45">
        <v>2</v>
      </c>
      <c r="X45">
        <v>1</v>
      </c>
      <c r="Y45">
        <v>1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1</v>
      </c>
      <c r="AG45">
        <v>4</v>
      </c>
      <c r="AH45">
        <v>4</v>
      </c>
      <c r="AI45">
        <v>1</v>
      </c>
      <c r="AJ45">
        <v>2</v>
      </c>
      <c r="AK45">
        <v>1</v>
      </c>
      <c r="AL45">
        <v>4</v>
      </c>
      <c r="AM45">
        <v>3</v>
      </c>
      <c r="AN45">
        <v>4</v>
      </c>
      <c r="AO45">
        <v>3</v>
      </c>
      <c r="AP45">
        <v>5</v>
      </c>
      <c r="AQ45">
        <v>4</v>
      </c>
      <c r="AR45">
        <v>4</v>
      </c>
      <c r="AT45">
        <v>5</v>
      </c>
      <c r="AU45">
        <v>2</v>
      </c>
      <c r="AV45">
        <v>5</v>
      </c>
      <c r="AW45">
        <v>1</v>
      </c>
      <c r="AX45">
        <v>3</v>
      </c>
      <c r="AY45">
        <v>4</v>
      </c>
      <c r="BA45">
        <f t="shared" si="0"/>
        <v>0</v>
      </c>
      <c r="BB45">
        <f t="shared" si="1"/>
        <v>0</v>
      </c>
      <c r="BC45">
        <f t="shared" si="2"/>
        <v>1</v>
      </c>
    </row>
    <row r="46" spans="1:55" x14ac:dyDescent="0.25">
      <c r="A46" s="2">
        <f t="shared" ref="A46:A55" si="5">A45+1</f>
        <v>45</v>
      </c>
      <c r="B46">
        <v>8</v>
      </c>
      <c r="C46">
        <v>1903</v>
      </c>
      <c r="D46" s="2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4</v>
      </c>
      <c r="Q46">
        <v>4</v>
      </c>
      <c r="R46">
        <v>4</v>
      </c>
      <c r="S46">
        <v>4</v>
      </c>
      <c r="T46">
        <v>4</v>
      </c>
      <c r="U46">
        <v>3</v>
      </c>
      <c r="V46">
        <v>3</v>
      </c>
      <c r="W46">
        <v>2</v>
      </c>
      <c r="X46">
        <v>2</v>
      </c>
      <c r="Y46">
        <v>4</v>
      </c>
      <c r="Z46">
        <v>4</v>
      </c>
      <c r="AA46">
        <v>4</v>
      </c>
      <c r="AB46">
        <v>4</v>
      </c>
      <c r="AC46">
        <v>5</v>
      </c>
      <c r="AD46">
        <v>5</v>
      </c>
      <c r="AE46">
        <v>4</v>
      </c>
      <c r="AF46">
        <v>5</v>
      </c>
      <c r="AG46">
        <v>5</v>
      </c>
      <c r="AH46">
        <v>5</v>
      </c>
      <c r="AI46">
        <v>3</v>
      </c>
      <c r="AJ46">
        <v>3</v>
      </c>
      <c r="AK46">
        <v>2</v>
      </c>
      <c r="AL46">
        <v>2</v>
      </c>
      <c r="AM46">
        <v>3</v>
      </c>
      <c r="AN46">
        <v>4</v>
      </c>
      <c r="AP46">
        <v>4</v>
      </c>
      <c r="AQ46">
        <v>3</v>
      </c>
      <c r="AR46">
        <v>3</v>
      </c>
      <c r="AS46">
        <v>2</v>
      </c>
      <c r="AT46">
        <v>4</v>
      </c>
      <c r="AU46">
        <v>3</v>
      </c>
      <c r="AV46">
        <v>3</v>
      </c>
      <c r="AW46">
        <v>3</v>
      </c>
      <c r="AX46">
        <v>4</v>
      </c>
      <c r="AY46">
        <v>4</v>
      </c>
      <c r="AZ46">
        <v>3</v>
      </c>
      <c r="BA46">
        <f t="shared" si="0"/>
        <v>0</v>
      </c>
      <c r="BB46">
        <f t="shared" si="1"/>
        <v>0</v>
      </c>
      <c r="BC46">
        <f t="shared" si="2"/>
        <v>1</v>
      </c>
    </row>
    <row r="47" spans="1:55" x14ac:dyDescent="0.25">
      <c r="A47" s="2">
        <f t="shared" si="5"/>
        <v>46</v>
      </c>
      <c r="B47">
        <v>12</v>
      </c>
      <c r="C47">
        <v>1924</v>
      </c>
      <c r="D47" s="2"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5</v>
      </c>
      <c r="Q47">
        <v>3</v>
      </c>
      <c r="R47">
        <v>4</v>
      </c>
      <c r="S47">
        <v>3</v>
      </c>
      <c r="T47">
        <v>4</v>
      </c>
      <c r="U47">
        <v>4</v>
      </c>
      <c r="V47">
        <v>3</v>
      </c>
      <c r="W47">
        <v>3</v>
      </c>
      <c r="X47">
        <v>2</v>
      </c>
      <c r="Y47">
        <v>2</v>
      </c>
      <c r="Z47">
        <v>2</v>
      </c>
      <c r="AA47">
        <v>2</v>
      </c>
      <c r="AB47">
        <v>2</v>
      </c>
      <c r="AC47">
        <v>3</v>
      </c>
      <c r="AE47">
        <v>3</v>
      </c>
      <c r="AF47">
        <v>2</v>
      </c>
      <c r="AG47">
        <v>4</v>
      </c>
      <c r="AH47">
        <v>4</v>
      </c>
      <c r="AI47">
        <v>3</v>
      </c>
      <c r="AJ47">
        <v>3</v>
      </c>
      <c r="AK47">
        <v>4</v>
      </c>
      <c r="AL47">
        <v>4</v>
      </c>
      <c r="AM47">
        <v>3</v>
      </c>
      <c r="AN47">
        <v>3</v>
      </c>
      <c r="AO47">
        <v>2</v>
      </c>
      <c r="AP47">
        <v>4</v>
      </c>
      <c r="AQ47">
        <v>3</v>
      </c>
      <c r="AR47">
        <v>4</v>
      </c>
      <c r="AS47">
        <v>2</v>
      </c>
      <c r="AT47">
        <v>5</v>
      </c>
      <c r="AU47">
        <v>2</v>
      </c>
      <c r="AV47">
        <v>4</v>
      </c>
      <c r="AW47">
        <v>3</v>
      </c>
      <c r="AX47">
        <v>4</v>
      </c>
      <c r="AY47">
        <v>2</v>
      </c>
      <c r="AZ47">
        <v>4</v>
      </c>
      <c r="BA47">
        <f t="shared" si="0"/>
        <v>0</v>
      </c>
      <c r="BB47">
        <f t="shared" si="1"/>
        <v>0</v>
      </c>
      <c r="BC47">
        <f t="shared" si="2"/>
        <v>1</v>
      </c>
    </row>
    <row r="48" spans="1:55" x14ac:dyDescent="0.25">
      <c r="A48" s="2">
        <f t="shared" si="5"/>
        <v>47</v>
      </c>
      <c r="B48">
        <v>15</v>
      </c>
      <c r="C48">
        <v>2050</v>
      </c>
      <c r="D48" s="2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3</v>
      </c>
      <c r="Q48">
        <v>3</v>
      </c>
      <c r="R48">
        <v>3</v>
      </c>
      <c r="S48">
        <v>3</v>
      </c>
      <c r="T48">
        <v>3</v>
      </c>
      <c r="U48">
        <v>4</v>
      </c>
      <c r="V48">
        <v>4</v>
      </c>
      <c r="W48">
        <v>4</v>
      </c>
      <c r="X48">
        <v>4</v>
      </c>
      <c r="Y48">
        <v>2</v>
      </c>
      <c r="Z48">
        <v>2</v>
      </c>
      <c r="AB48">
        <v>2</v>
      </c>
      <c r="AC48">
        <v>3</v>
      </c>
      <c r="AI48">
        <v>3</v>
      </c>
      <c r="AJ48">
        <v>2</v>
      </c>
      <c r="AK48">
        <v>2</v>
      </c>
      <c r="AL48">
        <v>4</v>
      </c>
      <c r="AM48">
        <v>2</v>
      </c>
      <c r="AN48">
        <v>4</v>
      </c>
      <c r="AO48">
        <v>3</v>
      </c>
      <c r="AP48">
        <v>4</v>
      </c>
      <c r="AQ48">
        <v>3</v>
      </c>
      <c r="AR48">
        <v>5</v>
      </c>
      <c r="AS48">
        <v>1</v>
      </c>
      <c r="AT48">
        <v>5</v>
      </c>
      <c r="AU48">
        <v>1</v>
      </c>
      <c r="AV48">
        <v>5</v>
      </c>
      <c r="AW48">
        <v>1</v>
      </c>
      <c r="AX48">
        <v>5</v>
      </c>
      <c r="AY48">
        <v>2</v>
      </c>
      <c r="AZ48">
        <v>4</v>
      </c>
      <c r="BA48">
        <f t="shared" si="0"/>
        <v>0</v>
      </c>
      <c r="BB48">
        <f t="shared" si="1"/>
        <v>0</v>
      </c>
      <c r="BC48">
        <f t="shared" si="2"/>
        <v>1</v>
      </c>
    </row>
    <row r="49" spans="1:55" x14ac:dyDescent="0.25">
      <c r="A49" s="2">
        <f t="shared" si="5"/>
        <v>48</v>
      </c>
      <c r="B49">
        <v>16</v>
      </c>
      <c r="C49">
        <v>1922</v>
      </c>
      <c r="D49" s="2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4</v>
      </c>
      <c r="Q49">
        <v>4</v>
      </c>
      <c r="R49">
        <v>4</v>
      </c>
      <c r="S49">
        <v>3</v>
      </c>
      <c r="T49">
        <v>4</v>
      </c>
      <c r="U49">
        <v>3</v>
      </c>
      <c r="V49">
        <v>3</v>
      </c>
      <c r="W49">
        <v>3</v>
      </c>
      <c r="X49">
        <v>2</v>
      </c>
      <c r="Y49">
        <v>2</v>
      </c>
      <c r="Z49">
        <v>2</v>
      </c>
      <c r="AA49">
        <v>2</v>
      </c>
      <c r="AB49">
        <v>2</v>
      </c>
      <c r="AC49">
        <v>4</v>
      </c>
      <c r="AD49">
        <v>2</v>
      </c>
      <c r="AE49">
        <v>2</v>
      </c>
      <c r="AF49">
        <v>3</v>
      </c>
      <c r="AG49">
        <v>3</v>
      </c>
      <c r="AH49">
        <v>5</v>
      </c>
      <c r="AI49">
        <v>3</v>
      </c>
      <c r="AJ49">
        <v>3</v>
      </c>
      <c r="AK49">
        <v>3</v>
      </c>
      <c r="AL49">
        <v>5</v>
      </c>
      <c r="AM49">
        <v>1</v>
      </c>
      <c r="AN49">
        <v>5</v>
      </c>
      <c r="AO49">
        <v>1</v>
      </c>
      <c r="AP49">
        <v>5</v>
      </c>
      <c r="AQ49">
        <v>4</v>
      </c>
      <c r="AR49">
        <v>5</v>
      </c>
      <c r="AS49">
        <v>1</v>
      </c>
      <c r="AT49">
        <v>5</v>
      </c>
      <c r="AU49">
        <v>1</v>
      </c>
      <c r="AV49">
        <v>5</v>
      </c>
      <c r="AW49">
        <v>1</v>
      </c>
      <c r="AX49">
        <v>5</v>
      </c>
      <c r="AY49">
        <v>1</v>
      </c>
      <c r="AZ49">
        <v>5</v>
      </c>
      <c r="BA49">
        <f t="shared" si="0"/>
        <v>0</v>
      </c>
      <c r="BB49">
        <f t="shared" si="1"/>
        <v>0</v>
      </c>
      <c r="BC49">
        <f t="shared" si="2"/>
        <v>1</v>
      </c>
    </row>
    <row r="50" spans="1:55" x14ac:dyDescent="0.25">
      <c r="A50" s="2">
        <f t="shared" si="5"/>
        <v>49</v>
      </c>
      <c r="B50">
        <v>18</v>
      </c>
      <c r="C50">
        <v>1903</v>
      </c>
      <c r="D50" s="2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4</v>
      </c>
      <c r="Q50">
        <v>5</v>
      </c>
      <c r="R50">
        <v>4</v>
      </c>
      <c r="S50">
        <v>5</v>
      </c>
      <c r="T50">
        <v>5</v>
      </c>
      <c r="U50">
        <v>2</v>
      </c>
      <c r="V50">
        <v>2</v>
      </c>
      <c r="W50">
        <v>2</v>
      </c>
      <c r="X50">
        <v>2</v>
      </c>
      <c r="Y50">
        <v>3</v>
      </c>
      <c r="Z50">
        <v>3</v>
      </c>
      <c r="AA50">
        <v>3</v>
      </c>
      <c r="AB50">
        <v>2</v>
      </c>
      <c r="AD50">
        <v>2</v>
      </c>
      <c r="AE50">
        <v>2</v>
      </c>
      <c r="AF50">
        <v>3</v>
      </c>
      <c r="AG50">
        <v>4</v>
      </c>
      <c r="AH50">
        <v>4</v>
      </c>
      <c r="AI50">
        <v>3</v>
      </c>
      <c r="AJ50">
        <v>3</v>
      </c>
      <c r="AK50">
        <v>2</v>
      </c>
      <c r="AL50">
        <v>4</v>
      </c>
      <c r="AM50">
        <v>2</v>
      </c>
      <c r="AN50">
        <v>5</v>
      </c>
      <c r="AO50">
        <v>2</v>
      </c>
      <c r="AP50">
        <v>5</v>
      </c>
      <c r="AQ50">
        <v>4</v>
      </c>
      <c r="AR50">
        <v>4</v>
      </c>
      <c r="AS50">
        <v>2</v>
      </c>
      <c r="AT50">
        <v>4</v>
      </c>
      <c r="AU50">
        <v>2</v>
      </c>
      <c r="AV50">
        <v>4</v>
      </c>
      <c r="AW50">
        <v>2</v>
      </c>
      <c r="AX50">
        <v>4</v>
      </c>
      <c r="AY50">
        <v>2</v>
      </c>
      <c r="AZ50">
        <v>4</v>
      </c>
      <c r="BA50">
        <f t="shared" si="0"/>
        <v>0</v>
      </c>
      <c r="BB50">
        <f t="shared" si="1"/>
        <v>0</v>
      </c>
      <c r="BC50">
        <f t="shared" si="2"/>
        <v>1</v>
      </c>
    </row>
    <row r="51" spans="1:55" x14ac:dyDescent="0.25">
      <c r="A51" s="2">
        <f t="shared" si="5"/>
        <v>50</v>
      </c>
      <c r="B51">
        <v>21</v>
      </c>
      <c r="C51">
        <v>2012</v>
      </c>
      <c r="D51" s="2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5</v>
      </c>
      <c r="Q51">
        <v>4</v>
      </c>
      <c r="R51">
        <v>4</v>
      </c>
      <c r="S51">
        <v>5</v>
      </c>
      <c r="T51">
        <v>5</v>
      </c>
      <c r="U51">
        <v>4</v>
      </c>
      <c r="V51">
        <v>3</v>
      </c>
      <c r="W51">
        <v>2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H51">
        <v>2</v>
      </c>
      <c r="AI51">
        <v>5</v>
      </c>
      <c r="AJ51">
        <v>2</v>
      </c>
      <c r="AK51">
        <v>2</v>
      </c>
      <c r="AL51">
        <v>3</v>
      </c>
      <c r="AM51">
        <v>3</v>
      </c>
      <c r="AN51">
        <v>3</v>
      </c>
      <c r="AP51">
        <v>4</v>
      </c>
      <c r="AQ51">
        <v>4</v>
      </c>
      <c r="AR51">
        <v>4</v>
      </c>
      <c r="AS51">
        <v>2</v>
      </c>
      <c r="AT51">
        <v>5</v>
      </c>
      <c r="AW51">
        <v>2</v>
      </c>
      <c r="AX51">
        <v>4</v>
      </c>
      <c r="BA51">
        <f t="shared" si="0"/>
        <v>0</v>
      </c>
      <c r="BB51">
        <f t="shared" si="1"/>
        <v>0</v>
      </c>
      <c r="BC51">
        <f t="shared" si="2"/>
        <v>1</v>
      </c>
    </row>
    <row r="52" spans="1:55" x14ac:dyDescent="0.25">
      <c r="A52" s="2">
        <f t="shared" si="5"/>
        <v>51</v>
      </c>
      <c r="B52">
        <v>24</v>
      </c>
      <c r="C52">
        <v>1902</v>
      </c>
      <c r="D52" s="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4</v>
      </c>
      <c r="Q52">
        <v>4</v>
      </c>
      <c r="R52">
        <v>4</v>
      </c>
      <c r="S52">
        <v>4</v>
      </c>
      <c r="T52">
        <v>4</v>
      </c>
      <c r="U52">
        <v>2</v>
      </c>
      <c r="V52">
        <v>3</v>
      </c>
      <c r="W52">
        <v>2</v>
      </c>
      <c r="X52">
        <v>2</v>
      </c>
      <c r="Y52">
        <v>3</v>
      </c>
      <c r="Z52">
        <v>4</v>
      </c>
      <c r="AA52">
        <v>4</v>
      </c>
      <c r="AB52">
        <v>3</v>
      </c>
      <c r="AC52">
        <v>5</v>
      </c>
      <c r="AD52">
        <v>4</v>
      </c>
      <c r="AE52">
        <v>3</v>
      </c>
      <c r="AF52">
        <v>6</v>
      </c>
      <c r="AG52">
        <v>3</v>
      </c>
      <c r="AH52">
        <v>4</v>
      </c>
      <c r="AI52">
        <v>3</v>
      </c>
      <c r="AJ52">
        <v>2</v>
      </c>
      <c r="AK52">
        <v>2</v>
      </c>
      <c r="AL52">
        <v>5</v>
      </c>
      <c r="AM52">
        <v>1</v>
      </c>
      <c r="AN52">
        <v>5</v>
      </c>
      <c r="AO52">
        <v>3</v>
      </c>
      <c r="AP52">
        <v>4</v>
      </c>
      <c r="AQ52">
        <v>5</v>
      </c>
      <c r="AR52">
        <v>4</v>
      </c>
      <c r="AS52">
        <v>4</v>
      </c>
      <c r="AT52">
        <v>5</v>
      </c>
      <c r="AU52">
        <v>4</v>
      </c>
      <c r="AV52">
        <v>4</v>
      </c>
      <c r="AW52">
        <v>3</v>
      </c>
      <c r="AX52">
        <v>4</v>
      </c>
      <c r="AY52">
        <v>4</v>
      </c>
      <c r="AZ52">
        <v>4</v>
      </c>
      <c r="BA52">
        <f t="shared" si="0"/>
        <v>0</v>
      </c>
      <c r="BB52">
        <f t="shared" si="1"/>
        <v>0</v>
      </c>
      <c r="BC52">
        <f t="shared" si="2"/>
        <v>1</v>
      </c>
    </row>
    <row r="53" spans="1:55" x14ac:dyDescent="0.25">
      <c r="A53" s="2">
        <f t="shared" si="5"/>
        <v>52</v>
      </c>
      <c r="B53">
        <v>26</v>
      </c>
      <c r="C53" s="2">
        <v>1938</v>
      </c>
      <c r="D53" s="2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4</v>
      </c>
      <c r="Q53">
        <v>4</v>
      </c>
      <c r="R53">
        <v>4</v>
      </c>
      <c r="S53">
        <v>4</v>
      </c>
      <c r="T53">
        <v>4</v>
      </c>
      <c r="U53">
        <v>3</v>
      </c>
      <c r="V53">
        <v>4</v>
      </c>
      <c r="W53">
        <v>4</v>
      </c>
      <c r="X53">
        <v>3</v>
      </c>
      <c r="Y53">
        <v>2</v>
      </c>
      <c r="Z53">
        <v>3</v>
      </c>
      <c r="AA53">
        <v>3</v>
      </c>
      <c r="AB53">
        <v>3</v>
      </c>
      <c r="AC53">
        <v>4</v>
      </c>
      <c r="AD53">
        <v>2</v>
      </c>
      <c r="AE53">
        <v>2</v>
      </c>
      <c r="AF53">
        <v>2</v>
      </c>
      <c r="AH53">
        <v>6</v>
      </c>
      <c r="AI53">
        <v>4</v>
      </c>
      <c r="AJ53">
        <v>5</v>
      </c>
      <c r="AK53">
        <v>3</v>
      </c>
      <c r="AL53">
        <v>4</v>
      </c>
      <c r="AM53">
        <v>1</v>
      </c>
      <c r="AN53">
        <v>4</v>
      </c>
      <c r="AO53">
        <v>3</v>
      </c>
      <c r="AP53">
        <v>4</v>
      </c>
      <c r="AQ53">
        <v>4</v>
      </c>
      <c r="AR53">
        <v>4</v>
      </c>
      <c r="AS53">
        <v>2</v>
      </c>
      <c r="AT53">
        <v>4</v>
      </c>
      <c r="AU53">
        <v>2</v>
      </c>
      <c r="AV53">
        <v>4</v>
      </c>
      <c r="AW53">
        <v>4</v>
      </c>
      <c r="AX53">
        <v>4</v>
      </c>
      <c r="AZ53">
        <v>4</v>
      </c>
      <c r="BA53">
        <f t="shared" si="0"/>
        <v>0</v>
      </c>
      <c r="BB53">
        <f t="shared" si="1"/>
        <v>0</v>
      </c>
      <c r="BC53">
        <f t="shared" si="2"/>
        <v>1</v>
      </c>
    </row>
    <row r="54" spans="1:55" x14ac:dyDescent="0.25">
      <c r="A54" s="2">
        <f t="shared" si="5"/>
        <v>53</v>
      </c>
      <c r="B54">
        <v>27</v>
      </c>
      <c r="C54" s="2">
        <v>2012</v>
      </c>
      <c r="D54" s="2">
        <v>3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4</v>
      </c>
      <c r="Q54" s="2">
        <v>3</v>
      </c>
      <c r="R54" s="2">
        <v>5</v>
      </c>
      <c r="S54" s="2">
        <v>2</v>
      </c>
      <c r="T54" s="2">
        <v>3</v>
      </c>
      <c r="U54" s="2">
        <v>2</v>
      </c>
      <c r="V54" s="2">
        <v>3</v>
      </c>
      <c r="W54" s="2">
        <v>2</v>
      </c>
      <c r="X54" s="2">
        <v>3</v>
      </c>
      <c r="Y54" s="2">
        <v>4</v>
      </c>
      <c r="Z54" s="2">
        <v>3</v>
      </c>
      <c r="AA54" s="2">
        <v>4</v>
      </c>
      <c r="AB54" s="2">
        <v>3</v>
      </c>
      <c r="AC54" s="2">
        <v>3</v>
      </c>
      <c r="AD54" s="2">
        <v>4</v>
      </c>
      <c r="AE54" s="2">
        <v>4</v>
      </c>
      <c r="AF54" s="2">
        <v>4</v>
      </c>
      <c r="AG54" s="2">
        <v>4</v>
      </c>
      <c r="AH54" s="2">
        <v>3</v>
      </c>
      <c r="AI54" s="2">
        <v>5</v>
      </c>
      <c r="AJ54" s="2">
        <v>2</v>
      </c>
      <c r="AK54" s="2">
        <v>2</v>
      </c>
      <c r="AL54" s="2">
        <v>5</v>
      </c>
      <c r="AM54" s="2">
        <v>5</v>
      </c>
      <c r="AN54" s="2">
        <v>3</v>
      </c>
      <c r="AO54" s="2">
        <v>3</v>
      </c>
      <c r="AP54" s="2">
        <v>2</v>
      </c>
      <c r="AQ54" s="2">
        <v>2</v>
      </c>
      <c r="AR54" s="2">
        <v>2</v>
      </c>
      <c r="AS54" s="2">
        <v>4</v>
      </c>
      <c r="AT54" s="2">
        <v>4</v>
      </c>
      <c r="AU54" s="2">
        <v>2</v>
      </c>
      <c r="AV54" s="2">
        <v>2</v>
      </c>
      <c r="AW54" s="2">
        <v>2</v>
      </c>
      <c r="AX54" s="2">
        <v>3</v>
      </c>
      <c r="AY54" s="2">
        <v>3</v>
      </c>
      <c r="AZ54" s="2">
        <v>3</v>
      </c>
      <c r="BA54">
        <f t="shared" si="0"/>
        <v>0</v>
      </c>
      <c r="BB54">
        <f t="shared" si="1"/>
        <v>0</v>
      </c>
      <c r="BC54">
        <f t="shared" si="2"/>
        <v>1</v>
      </c>
    </row>
    <row r="55" spans="1:55" x14ac:dyDescent="0.25">
      <c r="A55" s="2">
        <f t="shared" si="5"/>
        <v>54</v>
      </c>
      <c r="B55">
        <v>28</v>
      </c>
      <c r="C55" s="2">
        <v>1902</v>
      </c>
      <c r="D55" s="2">
        <v>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4</v>
      </c>
      <c r="Q55">
        <v>3</v>
      </c>
      <c r="R55">
        <v>3</v>
      </c>
      <c r="S55">
        <v>3</v>
      </c>
      <c r="T55">
        <v>3</v>
      </c>
      <c r="U55">
        <v>2</v>
      </c>
      <c r="V55">
        <v>2</v>
      </c>
      <c r="W55">
        <v>2</v>
      </c>
      <c r="X55">
        <v>2</v>
      </c>
      <c r="Y55">
        <v>3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3</v>
      </c>
      <c r="AH55">
        <v>4</v>
      </c>
      <c r="AI55">
        <v>3</v>
      </c>
      <c r="AJ55">
        <v>3</v>
      </c>
      <c r="AK55">
        <v>2</v>
      </c>
      <c r="AL55">
        <v>1</v>
      </c>
      <c r="AM55">
        <v>5</v>
      </c>
      <c r="AN55">
        <v>1</v>
      </c>
      <c r="AO55">
        <v>5</v>
      </c>
      <c r="AP55">
        <v>5</v>
      </c>
      <c r="AQ55">
        <v>5</v>
      </c>
      <c r="AR55">
        <v>1</v>
      </c>
      <c r="AS55">
        <v>5</v>
      </c>
      <c r="AT55">
        <v>3</v>
      </c>
      <c r="AU55">
        <v>4</v>
      </c>
      <c r="AV55">
        <v>3</v>
      </c>
      <c r="AW55">
        <v>5</v>
      </c>
      <c r="AX55">
        <v>5</v>
      </c>
      <c r="AY55">
        <v>5</v>
      </c>
      <c r="AZ55">
        <v>1</v>
      </c>
      <c r="BA55">
        <f t="shared" si="0"/>
        <v>0</v>
      </c>
      <c r="BB55">
        <f t="shared" si="1"/>
        <v>0</v>
      </c>
      <c r="BC55">
        <f t="shared" si="2"/>
        <v>1</v>
      </c>
    </row>
    <row r="56" spans="1:55" x14ac:dyDescent="0.25">
      <c r="A56" s="2">
        <v>55</v>
      </c>
      <c r="B56">
        <v>31</v>
      </c>
      <c r="C56" s="2">
        <v>1902</v>
      </c>
      <c r="D56" s="2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4</v>
      </c>
      <c r="Q56">
        <v>5</v>
      </c>
      <c r="R56">
        <v>4</v>
      </c>
      <c r="S56">
        <v>5</v>
      </c>
      <c r="T56">
        <v>5</v>
      </c>
      <c r="U56">
        <v>3</v>
      </c>
      <c r="V56">
        <v>3</v>
      </c>
      <c r="W56">
        <v>2</v>
      </c>
      <c r="X56">
        <v>2</v>
      </c>
      <c r="Y56">
        <v>2</v>
      </c>
      <c r="Z56">
        <v>2</v>
      </c>
      <c r="AA56">
        <v>2</v>
      </c>
      <c r="AB56">
        <v>3</v>
      </c>
      <c r="AD56">
        <v>3</v>
      </c>
      <c r="AE56">
        <v>2</v>
      </c>
      <c r="AG56">
        <v>2</v>
      </c>
      <c r="AI56">
        <v>3</v>
      </c>
      <c r="AJ56">
        <v>6</v>
      </c>
      <c r="AK56">
        <v>6</v>
      </c>
      <c r="AL56">
        <v>4</v>
      </c>
      <c r="AM56">
        <v>2</v>
      </c>
      <c r="AN56">
        <v>3</v>
      </c>
      <c r="AP56">
        <v>3</v>
      </c>
      <c r="AQ56">
        <v>4</v>
      </c>
      <c r="AR56">
        <v>4</v>
      </c>
      <c r="AS56">
        <v>1</v>
      </c>
      <c r="AT56">
        <v>5</v>
      </c>
      <c r="AU56">
        <v>1</v>
      </c>
      <c r="AV56">
        <v>4</v>
      </c>
      <c r="AW56">
        <v>1</v>
      </c>
      <c r="AX56">
        <v>3</v>
      </c>
      <c r="AY56">
        <v>2</v>
      </c>
      <c r="AZ56">
        <v>4</v>
      </c>
      <c r="BA56">
        <f t="shared" si="0"/>
        <v>0</v>
      </c>
      <c r="BB56">
        <f t="shared" si="1"/>
        <v>0</v>
      </c>
      <c r="BC56">
        <f t="shared" si="2"/>
        <v>1</v>
      </c>
    </row>
    <row r="57" spans="1:55" x14ac:dyDescent="0.25">
      <c r="A57" s="2">
        <f t="shared" ref="A57:A72" si="6">A56+1</f>
        <v>56</v>
      </c>
      <c r="B57">
        <v>33</v>
      </c>
      <c r="C57" s="2">
        <v>1902</v>
      </c>
      <c r="D57" s="2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3</v>
      </c>
      <c r="Q57">
        <v>3</v>
      </c>
      <c r="R57">
        <v>3</v>
      </c>
      <c r="S57">
        <v>3</v>
      </c>
      <c r="T57">
        <v>4</v>
      </c>
      <c r="U57">
        <v>3</v>
      </c>
      <c r="V57">
        <v>3</v>
      </c>
      <c r="W57">
        <v>3</v>
      </c>
      <c r="X57">
        <v>2</v>
      </c>
      <c r="Y57">
        <v>2</v>
      </c>
      <c r="Z57">
        <v>3</v>
      </c>
      <c r="AA57">
        <v>2</v>
      </c>
      <c r="AB57">
        <v>2</v>
      </c>
      <c r="AC57">
        <v>3</v>
      </c>
      <c r="AD57">
        <v>3</v>
      </c>
      <c r="AE57">
        <v>2</v>
      </c>
      <c r="AF57">
        <v>3</v>
      </c>
      <c r="AG57">
        <v>4</v>
      </c>
      <c r="AH57">
        <v>2</v>
      </c>
      <c r="AI57">
        <v>4</v>
      </c>
      <c r="AJ57">
        <v>3</v>
      </c>
      <c r="AK57">
        <v>2</v>
      </c>
      <c r="AL57">
        <v>5</v>
      </c>
      <c r="AM57">
        <v>2</v>
      </c>
      <c r="AN57">
        <v>4</v>
      </c>
      <c r="AO57">
        <v>2</v>
      </c>
      <c r="AP57">
        <v>4</v>
      </c>
      <c r="AQ57">
        <v>4</v>
      </c>
      <c r="AR57">
        <v>4</v>
      </c>
      <c r="AS57">
        <v>2</v>
      </c>
      <c r="AT57">
        <v>5</v>
      </c>
      <c r="AU57">
        <v>2</v>
      </c>
      <c r="AV57">
        <v>5</v>
      </c>
      <c r="AW57">
        <v>2</v>
      </c>
      <c r="AX57">
        <v>5</v>
      </c>
      <c r="AY57">
        <v>2</v>
      </c>
      <c r="AZ57">
        <v>5</v>
      </c>
      <c r="BA57">
        <f t="shared" si="0"/>
        <v>0</v>
      </c>
      <c r="BB57">
        <f t="shared" si="1"/>
        <v>0</v>
      </c>
      <c r="BC57">
        <f t="shared" si="2"/>
        <v>1</v>
      </c>
    </row>
    <row r="58" spans="1:55" x14ac:dyDescent="0.25">
      <c r="A58" s="2">
        <f t="shared" si="6"/>
        <v>57</v>
      </c>
      <c r="B58">
        <v>35</v>
      </c>
      <c r="C58" s="2">
        <v>2012</v>
      </c>
      <c r="D58" s="2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3</v>
      </c>
      <c r="Q58">
        <v>3</v>
      </c>
      <c r="R58">
        <v>3</v>
      </c>
      <c r="S58">
        <v>3</v>
      </c>
      <c r="T58">
        <v>3</v>
      </c>
      <c r="U58">
        <v>4</v>
      </c>
      <c r="V58">
        <v>3</v>
      </c>
      <c r="W58">
        <v>3</v>
      </c>
      <c r="X58">
        <v>2</v>
      </c>
      <c r="Y58">
        <v>3</v>
      </c>
      <c r="Z58">
        <v>3</v>
      </c>
      <c r="AA58">
        <v>3</v>
      </c>
      <c r="AB58">
        <v>4</v>
      </c>
      <c r="AC58">
        <v>5</v>
      </c>
      <c r="AD58">
        <v>4</v>
      </c>
      <c r="AE58">
        <v>3</v>
      </c>
      <c r="AF58">
        <v>3</v>
      </c>
      <c r="AG58">
        <v>3</v>
      </c>
      <c r="AH58">
        <v>3</v>
      </c>
      <c r="AI58">
        <v>2</v>
      </c>
      <c r="AJ58">
        <v>3</v>
      </c>
      <c r="AK58">
        <v>2</v>
      </c>
      <c r="AL58">
        <v>3</v>
      </c>
      <c r="AM58">
        <v>2</v>
      </c>
      <c r="AN58">
        <v>3</v>
      </c>
      <c r="AO58">
        <v>3</v>
      </c>
      <c r="AP58">
        <v>3</v>
      </c>
      <c r="AQ58">
        <v>3</v>
      </c>
      <c r="AR58">
        <v>4</v>
      </c>
      <c r="AS58">
        <v>3</v>
      </c>
      <c r="AT58">
        <v>4</v>
      </c>
      <c r="AU58">
        <v>3</v>
      </c>
      <c r="AV58">
        <v>4</v>
      </c>
      <c r="AW58">
        <v>3</v>
      </c>
      <c r="AX58">
        <v>4</v>
      </c>
      <c r="AY58">
        <v>3</v>
      </c>
      <c r="AZ58">
        <v>3</v>
      </c>
      <c r="BA58">
        <f t="shared" si="0"/>
        <v>0</v>
      </c>
      <c r="BB58">
        <f t="shared" si="1"/>
        <v>0</v>
      </c>
      <c r="BC58">
        <f t="shared" si="2"/>
        <v>1</v>
      </c>
    </row>
    <row r="59" spans="1:55" x14ac:dyDescent="0.25">
      <c r="A59" s="2">
        <f t="shared" si="6"/>
        <v>58</v>
      </c>
      <c r="B59">
        <v>36</v>
      </c>
      <c r="C59" s="2">
        <v>1902</v>
      </c>
      <c r="D59" s="2">
        <v>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4</v>
      </c>
      <c r="Q59">
        <v>3</v>
      </c>
      <c r="R59">
        <v>3</v>
      </c>
      <c r="S59">
        <v>4</v>
      </c>
      <c r="T59">
        <v>4</v>
      </c>
      <c r="U59">
        <v>3</v>
      </c>
      <c r="V59">
        <v>2</v>
      </c>
      <c r="W59">
        <v>2</v>
      </c>
      <c r="X59">
        <v>1</v>
      </c>
      <c r="Y59">
        <v>1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1</v>
      </c>
      <c r="AF59">
        <v>1</v>
      </c>
      <c r="AG59">
        <v>5</v>
      </c>
      <c r="AH59">
        <v>6</v>
      </c>
      <c r="AI59">
        <v>3</v>
      </c>
      <c r="AJ59">
        <v>3</v>
      </c>
      <c r="AK59">
        <v>3</v>
      </c>
      <c r="AL59">
        <v>4</v>
      </c>
      <c r="AM59">
        <v>1</v>
      </c>
      <c r="AN59">
        <v>5</v>
      </c>
      <c r="AO59">
        <v>4</v>
      </c>
      <c r="AP59">
        <v>5</v>
      </c>
      <c r="AQ59">
        <v>4</v>
      </c>
      <c r="AR59">
        <v>5</v>
      </c>
      <c r="AS59">
        <v>1</v>
      </c>
      <c r="AT59">
        <v>4</v>
      </c>
      <c r="AU59">
        <v>1</v>
      </c>
      <c r="AV59">
        <v>5</v>
      </c>
      <c r="AW59">
        <v>1</v>
      </c>
      <c r="AX59">
        <v>5</v>
      </c>
      <c r="AY59">
        <v>2</v>
      </c>
      <c r="AZ59">
        <v>5</v>
      </c>
      <c r="BA59">
        <f t="shared" si="0"/>
        <v>0</v>
      </c>
      <c r="BB59">
        <f t="shared" si="1"/>
        <v>0</v>
      </c>
      <c r="BC59">
        <f t="shared" si="2"/>
        <v>1</v>
      </c>
    </row>
    <row r="60" spans="1:55" x14ac:dyDescent="0.25">
      <c r="A60" s="2">
        <f t="shared" si="6"/>
        <v>59</v>
      </c>
      <c r="B60">
        <v>40</v>
      </c>
      <c r="C60" s="2">
        <v>1902</v>
      </c>
      <c r="D60" s="2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5</v>
      </c>
      <c r="Q60">
        <v>5</v>
      </c>
      <c r="R60">
        <v>4</v>
      </c>
      <c r="S60">
        <v>5</v>
      </c>
      <c r="T60">
        <v>5</v>
      </c>
      <c r="U60">
        <v>2</v>
      </c>
      <c r="V60">
        <v>1</v>
      </c>
      <c r="W60">
        <v>1</v>
      </c>
      <c r="X60">
        <v>1</v>
      </c>
      <c r="Y60">
        <v>4</v>
      </c>
      <c r="Z60">
        <v>4</v>
      </c>
      <c r="AA60">
        <v>4</v>
      </c>
      <c r="AB60">
        <v>4</v>
      </c>
      <c r="AC60">
        <v>4</v>
      </c>
      <c r="AD60">
        <v>3</v>
      </c>
      <c r="AE60">
        <v>3</v>
      </c>
      <c r="AF60">
        <v>3</v>
      </c>
      <c r="AH60">
        <v>5</v>
      </c>
      <c r="AI60">
        <v>4</v>
      </c>
      <c r="AJ60">
        <v>4</v>
      </c>
      <c r="AK60">
        <v>5</v>
      </c>
      <c r="AL60">
        <v>4</v>
      </c>
      <c r="AM60">
        <v>2</v>
      </c>
      <c r="AN60">
        <v>4</v>
      </c>
      <c r="AO60">
        <v>3</v>
      </c>
      <c r="AP60">
        <v>4</v>
      </c>
      <c r="AQ60">
        <v>4</v>
      </c>
      <c r="AR60">
        <v>4</v>
      </c>
      <c r="AS60">
        <v>2</v>
      </c>
      <c r="AT60">
        <v>4</v>
      </c>
      <c r="AU60">
        <v>1</v>
      </c>
      <c r="AV60">
        <v>4</v>
      </c>
      <c r="AW60">
        <v>1</v>
      </c>
      <c r="AX60">
        <v>4</v>
      </c>
      <c r="AY60">
        <v>2</v>
      </c>
      <c r="AZ60">
        <v>4</v>
      </c>
      <c r="BA60">
        <f t="shared" si="0"/>
        <v>0</v>
      </c>
      <c r="BB60">
        <f t="shared" si="1"/>
        <v>0</v>
      </c>
      <c r="BC60">
        <f t="shared" si="2"/>
        <v>1</v>
      </c>
    </row>
    <row r="61" spans="1:55" x14ac:dyDescent="0.25">
      <c r="A61" s="2">
        <f t="shared" si="6"/>
        <v>60</v>
      </c>
      <c r="B61">
        <v>41</v>
      </c>
      <c r="C61" s="2">
        <v>1902</v>
      </c>
      <c r="D61" s="2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5</v>
      </c>
      <c r="Q61">
        <v>3</v>
      </c>
      <c r="R61">
        <v>4</v>
      </c>
      <c r="S61">
        <v>4</v>
      </c>
      <c r="T61">
        <v>5</v>
      </c>
      <c r="U61">
        <v>4</v>
      </c>
      <c r="V61">
        <v>4</v>
      </c>
      <c r="W61">
        <v>4</v>
      </c>
      <c r="X61">
        <v>4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G61">
        <v>6</v>
      </c>
      <c r="AH61">
        <v>6</v>
      </c>
      <c r="AI61">
        <v>6</v>
      </c>
      <c r="AK61">
        <v>7</v>
      </c>
      <c r="AL61">
        <v>5</v>
      </c>
      <c r="AM61">
        <v>1</v>
      </c>
      <c r="AN61">
        <v>5</v>
      </c>
      <c r="AO61">
        <v>1</v>
      </c>
      <c r="AP61">
        <v>5</v>
      </c>
      <c r="AQ61">
        <v>1</v>
      </c>
      <c r="AR61">
        <v>5</v>
      </c>
      <c r="AS61">
        <v>1</v>
      </c>
      <c r="AT61">
        <v>5</v>
      </c>
      <c r="AU61">
        <v>1</v>
      </c>
      <c r="AV61">
        <v>5</v>
      </c>
      <c r="AW61">
        <v>1</v>
      </c>
      <c r="AX61">
        <v>5</v>
      </c>
      <c r="AY61">
        <v>1</v>
      </c>
      <c r="AZ61">
        <v>5</v>
      </c>
      <c r="BA61">
        <f t="shared" si="0"/>
        <v>0</v>
      </c>
      <c r="BB61">
        <f t="shared" si="1"/>
        <v>0</v>
      </c>
      <c r="BC61">
        <f t="shared" si="2"/>
        <v>1</v>
      </c>
    </row>
    <row r="62" spans="1:55" x14ac:dyDescent="0.25">
      <c r="A62" s="2">
        <f t="shared" si="6"/>
        <v>61</v>
      </c>
      <c r="B62">
        <v>44</v>
      </c>
      <c r="C62" s="2">
        <v>2012</v>
      </c>
      <c r="D62" s="2">
        <v>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4</v>
      </c>
      <c r="Q62">
        <v>3</v>
      </c>
      <c r="R62">
        <v>3</v>
      </c>
      <c r="S62">
        <v>3</v>
      </c>
      <c r="T62">
        <v>4</v>
      </c>
      <c r="U62">
        <v>4</v>
      </c>
      <c r="V62">
        <v>3</v>
      </c>
      <c r="W62">
        <v>3</v>
      </c>
      <c r="X62">
        <v>3</v>
      </c>
      <c r="Y62">
        <v>1</v>
      </c>
      <c r="Z62">
        <v>1</v>
      </c>
      <c r="AA62">
        <v>1</v>
      </c>
      <c r="AB62">
        <v>1</v>
      </c>
      <c r="AC62">
        <v>3</v>
      </c>
      <c r="AE62">
        <v>2</v>
      </c>
      <c r="AF62">
        <v>1</v>
      </c>
      <c r="AG62">
        <v>6</v>
      </c>
      <c r="AH62">
        <v>4</v>
      </c>
      <c r="AI62">
        <v>3</v>
      </c>
      <c r="AJ62">
        <v>3</v>
      </c>
      <c r="AK62">
        <v>3</v>
      </c>
      <c r="AL62">
        <v>3</v>
      </c>
      <c r="AM62">
        <v>4</v>
      </c>
      <c r="AN62">
        <v>3</v>
      </c>
      <c r="AO62">
        <v>4</v>
      </c>
      <c r="AP62">
        <v>5</v>
      </c>
      <c r="AQ62">
        <v>4</v>
      </c>
      <c r="AR62">
        <v>3</v>
      </c>
      <c r="AS62">
        <v>1</v>
      </c>
      <c r="AT62">
        <v>5</v>
      </c>
      <c r="AU62">
        <v>4</v>
      </c>
      <c r="AV62">
        <v>5</v>
      </c>
      <c r="AW62">
        <v>1</v>
      </c>
      <c r="AX62">
        <v>2</v>
      </c>
      <c r="AY62">
        <v>4</v>
      </c>
      <c r="AZ62">
        <v>5</v>
      </c>
      <c r="BA62">
        <f t="shared" si="0"/>
        <v>0</v>
      </c>
      <c r="BB62">
        <f t="shared" si="1"/>
        <v>0</v>
      </c>
      <c r="BC62">
        <f t="shared" si="2"/>
        <v>1</v>
      </c>
    </row>
    <row r="63" spans="1:55" x14ac:dyDescent="0.25">
      <c r="A63" s="2">
        <f t="shared" si="6"/>
        <v>62</v>
      </c>
      <c r="B63">
        <v>46</v>
      </c>
      <c r="C63" s="2">
        <v>1903</v>
      </c>
      <c r="D63" s="2">
        <v>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4</v>
      </c>
      <c r="Q63">
        <v>4</v>
      </c>
      <c r="R63">
        <v>4</v>
      </c>
      <c r="S63">
        <v>4</v>
      </c>
      <c r="T63">
        <v>5</v>
      </c>
      <c r="U63">
        <v>4</v>
      </c>
      <c r="V63">
        <v>3</v>
      </c>
      <c r="W63">
        <v>2</v>
      </c>
      <c r="X63">
        <v>2</v>
      </c>
      <c r="Y63">
        <v>2</v>
      </c>
      <c r="AE63">
        <v>2</v>
      </c>
      <c r="AF63">
        <v>2</v>
      </c>
      <c r="AI63">
        <v>3</v>
      </c>
      <c r="AJ63">
        <v>4</v>
      </c>
      <c r="AK63">
        <v>2</v>
      </c>
      <c r="AL63">
        <v>3</v>
      </c>
      <c r="AM63">
        <v>2</v>
      </c>
      <c r="AN63">
        <v>3</v>
      </c>
      <c r="AO63">
        <v>4</v>
      </c>
      <c r="AP63">
        <v>4</v>
      </c>
      <c r="AQ63">
        <v>5</v>
      </c>
      <c r="AR63">
        <v>3</v>
      </c>
      <c r="AT63">
        <v>3</v>
      </c>
      <c r="AU63">
        <v>2</v>
      </c>
      <c r="AV63">
        <v>2</v>
      </c>
      <c r="AW63">
        <v>2</v>
      </c>
      <c r="AX63">
        <v>4</v>
      </c>
      <c r="AY63">
        <v>2</v>
      </c>
      <c r="AZ63">
        <v>4</v>
      </c>
      <c r="BA63">
        <f t="shared" si="0"/>
        <v>0</v>
      </c>
      <c r="BB63">
        <f t="shared" si="1"/>
        <v>0</v>
      </c>
      <c r="BC63">
        <f t="shared" si="2"/>
        <v>1</v>
      </c>
    </row>
    <row r="64" spans="1:55" x14ac:dyDescent="0.25">
      <c r="A64" s="2">
        <f t="shared" si="6"/>
        <v>63</v>
      </c>
      <c r="B64">
        <v>47</v>
      </c>
      <c r="C64" s="2">
        <v>1903</v>
      </c>
      <c r="D64" s="2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5</v>
      </c>
      <c r="Q64">
        <v>5</v>
      </c>
      <c r="R64">
        <v>5</v>
      </c>
      <c r="S64">
        <v>5</v>
      </c>
      <c r="T64">
        <v>5</v>
      </c>
      <c r="U64">
        <v>3</v>
      </c>
      <c r="V64">
        <v>2</v>
      </c>
      <c r="W64">
        <v>1</v>
      </c>
      <c r="X64">
        <v>1</v>
      </c>
      <c r="Y64">
        <v>1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4</v>
      </c>
      <c r="AH64">
        <v>3</v>
      </c>
      <c r="AI64">
        <v>5</v>
      </c>
      <c r="AJ64">
        <v>5</v>
      </c>
      <c r="AK64">
        <v>5</v>
      </c>
      <c r="AL64">
        <v>5</v>
      </c>
      <c r="AM64">
        <v>3</v>
      </c>
      <c r="AN64">
        <v>4</v>
      </c>
      <c r="AO64">
        <v>2</v>
      </c>
      <c r="AP64">
        <v>4</v>
      </c>
      <c r="AQ64">
        <v>4</v>
      </c>
      <c r="AR64">
        <v>5</v>
      </c>
      <c r="AS64">
        <v>1</v>
      </c>
      <c r="AT64">
        <v>4</v>
      </c>
      <c r="AU64">
        <v>1</v>
      </c>
      <c r="AV64">
        <v>5</v>
      </c>
      <c r="AW64">
        <v>1</v>
      </c>
      <c r="AX64">
        <v>5</v>
      </c>
      <c r="AY64">
        <v>2</v>
      </c>
      <c r="AZ64">
        <v>4</v>
      </c>
      <c r="BA64">
        <f t="shared" si="0"/>
        <v>0</v>
      </c>
      <c r="BB64">
        <f t="shared" si="1"/>
        <v>0</v>
      </c>
      <c r="BC64">
        <f t="shared" si="2"/>
        <v>1</v>
      </c>
    </row>
    <row r="65" spans="1:55" x14ac:dyDescent="0.25">
      <c r="A65" s="2">
        <f t="shared" si="6"/>
        <v>64</v>
      </c>
      <c r="B65">
        <v>49</v>
      </c>
      <c r="C65" s="2">
        <v>1902</v>
      </c>
      <c r="D65" s="2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0</v>
      </c>
      <c r="N65">
        <v>0</v>
      </c>
      <c r="O65">
        <v>0</v>
      </c>
      <c r="P65">
        <v>2</v>
      </c>
      <c r="Q65">
        <v>2</v>
      </c>
      <c r="R65">
        <v>2</v>
      </c>
      <c r="S65">
        <v>1</v>
      </c>
      <c r="T65">
        <v>2</v>
      </c>
      <c r="U65">
        <v>4</v>
      </c>
      <c r="V65">
        <v>4</v>
      </c>
      <c r="W65">
        <v>3</v>
      </c>
      <c r="X65">
        <v>3</v>
      </c>
      <c r="Y65">
        <v>1</v>
      </c>
      <c r="Z65">
        <v>2</v>
      </c>
      <c r="AA65">
        <v>4</v>
      </c>
      <c r="AB65">
        <v>4</v>
      </c>
      <c r="AC65">
        <v>2</v>
      </c>
      <c r="AD65">
        <v>1</v>
      </c>
      <c r="AE65">
        <v>1</v>
      </c>
      <c r="AF65">
        <v>1</v>
      </c>
      <c r="AG65">
        <v>3</v>
      </c>
      <c r="AH65">
        <v>3</v>
      </c>
      <c r="AI65">
        <v>1</v>
      </c>
      <c r="AJ65">
        <v>2</v>
      </c>
      <c r="AK65">
        <v>2</v>
      </c>
      <c r="AL65">
        <v>5</v>
      </c>
      <c r="AM65">
        <v>2</v>
      </c>
      <c r="AN65">
        <v>4</v>
      </c>
      <c r="AO65">
        <v>2</v>
      </c>
      <c r="AP65">
        <v>4</v>
      </c>
      <c r="AQ65">
        <v>3</v>
      </c>
      <c r="AR65">
        <v>4</v>
      </c>
      <c r="AS65">
        <v>3</v>
      </c>
      <c r="AT65">
        <v>5</v>
      </c>
      <c r="AU65">
        <v>1</v>
      </c>
      <c r="AV65">
        <v>5</v>
      </c>
      <c r="AW65">
        <v>3</v>
      </c>
      <c r="AX65">
        <v>5</v>
      </c>
      <c r="AY65">
        <v>3</v>
      </c>
      <c r="AZ65">
        <v>5</v>
      </c>
      <c r="BA65">
        <f t="shared" si="0"/>
        <v>0</v>
      </c>
      <c r="BB65">
        <f t="shared" si="1"/>
        <v>0</v>
      </c>
      <c r="BC65">
        <f t="shared" si="2"/>
        <v>1</v>
      </c>
    </row>
    <row r="66" spans="1:55" x14ac:dyDescent="0.25">
      <c r="A66" s="2">
        <f t="shared" si="6"/>
        <v>65</v>
      </c>
      <c r="B66">
        <v>52</v>
      </c>
      <c r="C66" s="2">
        <v>2030</v>
      </c>
      <c r="D66" s="2">
        <v>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3</v>
      </c>
      <c r="Q66">
        <v>3</v>
      </c>
      <c r="R66">
        <v>3</v>
      </c>
      <c r="S66">
        <v>4</v>
      </c>
      <c r="T66">
        <v>3</v>
      </c>
      <c r="U66">
        <v>3</v>
      </c>
      <c r="V66">
        <v>3</v>
      </c>
      <c r="W66">
        <v>3</v>
      </c>
      <c r="X66">
        <v>2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2</v>
      </c>
      <c r="AF66">
        <v>4</v>
      </c>
      <c r="AG66">
        <v>4</v>
      </c>
      <c r="AH66">
        <v>4</v>
      </c>
      <c r="AI66">
        <v>3</v>
      </c>
      <c r="AJ66">
        <v>3</v>
      </c>
      <c r="AK66">
        <v>2</v>
      </c>
      <c r="AL66">
        <v>3</v>
      </c>
      <c r="AM66">
        <v>2</v>
      </c>
      <c r="AN66">
        <v>4</v>
      </c>
      <c r="AO66">
        <v>3</v>
      </c>
      <c r="AP66">
        <v>4</v>
      </c>
      <c r="AQ66">
        <v>4</v>
      </c>
      <c r="AR66">
        <v>4</v>
      </c>
      <c r="AS66">
        <v>2</v>
      </c>
      <c r="AT66">
        <v>4</v>
      </c>
      <c r="AU66">
        <v>3</v>
      </c>
      <c r="AV66">
        <v>3</v>
      </c>
      <c r="AW66">
        <v>2</v>
      </c>
      <c r="AX66">
        <v>4</v>
      </c>
      <c r="AY66">
        <v>2</v>
      </c>
      <c r="AZ66">
        <v>3</v>
      </c>
      <c r="BA66">
        <f t="shared" si="0"/>
        <v>0</v>
      </c>
      <c r="BB66">
        <f t="shared" si="1"/>
        <v>0</v>
      </c>
      <c r="BC66">
        <f t="shared" si="2"/>
        <v>1</v>
      </c>
    </row>
    <row r="67" spans="1:55" x14ac:dyDescent="0.25">
      <c r="A67" s="2">
        <f t="shared" si="6"/>
        <v>66</v>
      </c>
      <c r="B67">
        <v>53</v>
      </c>
      <c r="C67" s="2">
        <v>1902</v>
      </c>
      <c r="D67" s="2">
        <v>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5</v>
      </c>
      <c r="Q67">
        <v>3</v>
      </c>
      <c r="R67">
        <v>3</v>
      </c>
      <c r="S67">
        <v>4</v>
      </c>
      <c r="T67">
        <v>5</v>
      </c>
      <c r="U67">
        <v>4</v>
      </c>
      <c r="V67">
        <v>4</v>
      </c>
      <c r="W67">
        <v>4</v>
      </c>
      <c r="X67">
        <v>4</v>
      </c>
      <c r="Y67">
        <v>1</v>
      </c>
      <c r="Z67">
        <v>1</v>
      </c>
      <c r="AA67">
        <v>1</v>
      </c>
      <c r="AB67">
        <v>1</v>
      </c>
      <c r="AC67">
        <v>2</v>
      </c>
      <c r="AD67">
        <v>1</v>
      </c>
      <c r="AE67">
        <v>1</v>
      </c>
      <c r="AF67">
        <v>1</v>
      </c>
      <c r="AG67">
        <v>7</v>
      </c>
      <c r="AH67">
        <v>7</v>
      </c>
      <c r="AI67">
        <v>2</v>
      </c>
      <c r="AJ67">
        <v>3</v>
      </c>
      <c r="AK67">
        <v>1</v>
      </c>
      <c r="AM67">
        <v>3</v>
      </c>
      <c r="AN67">
        <v>4</v>
      </c>
      <c r="AO67">
        <v>3</v>
      </c>
      <c r="AP67">
        <v>5</v>
      </c>
      <c r="AQ67">
        <v>5</v>
      </c>
      <c r="AR67">
        <v>4</v>
      </c>
      <c r="AS67">
        <v>2</v>
      </c>
      <c r="AT67">
        <v>4</v>
      </c>
      <c r="AU67">
        <v>3</v>
      </c>
      <c r="AV67">
        <v>4</v>
      </c>
      <c r="AW67">
        <v>1</v>
      </c>
      <c r="AX67">
        <v>3</v>
      </c>
      <c r="AY67">
        <v>1</v>
      </c>
      <c r="BA67">
        <f t="shared" ref="BA67:BA98" si="7">IF(D67=1,1,0)</f>
        <v>0</v>
      </c>
      <c r="BB67">
        <f t="shared" ref="BB67:BB98" si="8">IF(D67=2,1,0)</f>
        <v>0</v>
      </c>
      <c r="BC67">
        <f t="shared" ref="BC67:BC98" si="9">IF(D67=3,1,0)</f>
        <v>1</v>
      </c>
    </row>
    <row r="68" spans="1:55" x14ac:dyDescent="0.25">
      <c r="A68" s="2">
        <f t="shared" si="6"/>
        <v>67</v>
      </c>
      <c r="B68">
        <v>55</v>
      </c>
      <c r="C68" s="2">
        <v>1902</v>
      </c>
      <c r="D68" s="2">
        <v>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4</v>
      </c>
      <c r="Q68">
        <v>3</v>
      </c>
      <c r="R68">
        <v>3</v>
      </c>
      <c r="S68">
        <v>4</v>
      </c>
      <c r="T68">
        <v>5</v>
      </c>
      <c r="U68">
        <v>3</v>
      </c>
      <c r="V68">
        <v>3</v>
      </c>
      <c r="W68">
        <v>3</v>
      </c>
      <c r="X68">
        <v>3</v>
      </c>
      <c r="AL68">
        <v>3</v>
      </c>
      <c r="AM68">
        <v>2</v>
      </c>
      <c r="AN68">
        <v>3</v>
      </c>
      <c r="AO68">
        <v>4</v>
      </c>
      <c r="AP68">
        <v>4</v>
      </c>
      <c r="AQ68">
        <v>4</v>
      </c>
      <c r="AR68">
        <v>3</v>
      </c>
      <c r="AS68">
        <v>2</v>
      </c>
      <c r="AT68">
        <v>4</v>
      </c>
      <c r="AU68">
        <v>4</v>
      </c>
      <c r="AV68">
        <v>4</v>
      </c>
      <c r="AW68">
        <v>2</v>
      </c>
      <c r="AX68">
        <v>3</v>
      </c>
      <c r="AY68">
        <v>4</v>
      </c>
      <c r="AZ68">
        <v>3</v>
      </c>
      <c r="BA68">
        <f t="shared" si="7"/>
        <v>0</v>
      </c>
      <c r="BB68">
        <f t="shared" si="8"/>
        <v>0</v>
      </c>
      <c r="BC68">
        <f t="shared" si="9"/>
        <v>1</v>
      </c>
    </row>
    <row r="69" spans="1:55" x14ac:dyDescent="0.25">
      <c r="A69" s="2">
        <f t="shared" si="6"/>
        <v>68</v>
      </c>
      <c r="B69">
        <v>57</v>
      </c>
      <c r="C69" s="2">
        <v>1931</v>
      </c>
      <c r="D69" s="2">
        <v>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5</v>
      </c>
      <c r="Q69">
        <v>5</v>
      </c>
      <c r="R69">
        <v>5</v>
      </c>
      <c r="S69">
        <v>5</v>
      </c>
      <c r="T69">
        <v>5</v>
      </c>
      <c r="U69">
        <v>2</v>
      </c>
      <c r="V69">
        <v>2</v>
      </c>
      <c r="W69">
        <v>2</v>
      </c>
      <c r="X69">
        <v>2</v>
      </c>
      <c r="AN69">
        <v>5</v>
      </c>
      <c r="AO69">
        <v>1</v>
      </c>
      <c r="AP69">
        <v>5</v>
      </c>
      <c r="AQ69">
        <v>5</v>
      </c>
      <c r="AR69">
        <v>5</v>
      </c>
      <c r="AX69">
        <v>5</v>
      </c>
      <c r="BA69">
        <f t="shared" si="7"/>
        <v>0</v>
      </c>
      <c r="BB69">
        <f t="shared" si="8"/>
        <v>0</v>
      </c>
      <c r="BC69">
        <f t="shared" si="9"/>
        <v>1</v>
      </c>
    </row>
    <row r="70" spans="1:55" x14ac:dyDescent="0.25">
      <c r="A70" s="2">
        <f t="shared" si="6"/>
        <v>69</v>
      </c>
      <c r="B70">
        <v>58</v>
      </c>
      <c r="C70" s="2">
        <v>1938</v>
      </c>
      <c r="D70" s="2">
        <v>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5</v>
      </c>
      <c r="Q70">
        <v>4</v>
      </c>
      <c r="R70">
        <v>4</v>
      </c>
      <c r="S70">
        <v>4</v>
      </c>
      <c r="T70">
        <v>4</v>
      </c>
      <c r="U70">
        <v>2</v>
      </c>
      <c r="V70">
        <v>2</v>
      </c>
      <c r="W70">
        <v>2</v>
      </c>
      <c r="X70">
        <v>1</v>
      </c>
      <c r="Y70">
        <v>4</v>
      </c>
      <c r="Z70">
        <v>4</v>
      </c>
      <c r="AA70">
        <v>4</v>
      </c>
      <c r="AF70">
        <v>4</v>
      </c>
      <c r="AI70">
        <v>2</v>
      </c>
      <c r="AJ70">
        <v>2</v>
      </c>
      <c r="AK70">
        <v>2</v>
      </c>
      <c r="AL70">
        <v>5</v>
      </c>
      <c r="AM70">
        <v>2</v>
      </c>
      <c r="AN70">
        <v>4</v>
      </c>
      <c r="AO70">
        <v>3</v>
      </c>
      <c r="AP70">
        <v>4</v>
      </c>
      <c r="AQ70">
        <v>4</v>
      </c>
      <c r="AR70">
        <v>5</v>
      </c>
      <c r="AS70">
        <v>2</v>
      </c>
      <c r="AT70">
        <v>5</v>
      </c>
      <c r="AU70">
        <v>1</v>
      </c>
      <c r="AV70">
        <v>4</v>
      </c>
      <c r="AW70">
        <v>1</v>
      </c>
      <c r="AX70">
        <v>5</v>
      </c>
      <c r="AY70">
        <v>2</v>
      </c>
      <c r="AZ70">
        <v>4</v>
      </c>
      <c r="BA70">
        <f t="shared" si="7"/>
        <v>0</v>
      </c>
      <c r="BB70">
        <f t="shared" si="8"/>
        <v>0</v>
      </c>
      <c r="BC70">
        <f t="shared" si="9"/>
        <v>1</v>
      </c>
    </row>
    <row r="71" spans="1:55" x14ac:dyDescent="0.25">
      <c r="A71" s="2">
        <f t="shared" si="6"/>
        <v>70</v>
      </c>
      <c r="B71">
        <v>61</v>
      </c>
      <c r="C71" s="2">
        <v>1903</v>
      </c>
      <c r="D71" s="2">
        <v>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4</v>
      </c>
      <c r="Q71">
        <v>4</v>
      </c>
      <c r="R71">
        <v>4</v>
      </c>
      <c r="S71">
        <v>4</v>
      </c>
      <c r="T71">
        <v>5</v>
      </c>
      <c r="U71">
        <v>3</v>
      </c>
      <c r="V71">
        <v>3</v>
      </c>
      <c r="W71">
        <v>3</v>
      </c>
      <c r="X71">
        <v>3</v>
      </c>
      <c r="Y71">
        <v>2</v>
      </c>
      <c r="Z71">
        <v>4</v>
      </c>
      <c r="AA71">
        <v>4</v>
      </c>
      <c r="AB71">
        <v>2</v>
      </c>
      <c r="AI71">
        <v>2</v>
      </c>
      <c r="AJ71">
        <v>2</v>
      </c>
      <c r="AK71">
        <v>2</v>
      </c>
      <c r="AL71">
        <v>5</v>
      </c>
      <c r="AM71">
        <v>2</v>
      </c>
      <c r="AN71">
        <v>4</v>
      </c>
      <c r="AO71">
        <v>4</v>
      </c>
      <c r="AP71">
        <v>3</v>
      </c>
      <c r="AQ71">
        <v>4</v>
      </c>
      <c r="AR71">
        <v>4</v>
      </c>
      <c r="AS71">
        <v>2</v>
      </c>
      <c r="AT71">
        <v>3</v>
      </c>
      <c r="AU71">
        <v>2</v>
      </c>
      <c r="AV71">
        <v>4</v>
      </c>
      <c r="AW71">
        <v>2</v>
      </c>
      <c r="AX71">
        <v>4</v>
      </c>
      <c r="AY71">
        <v>4</v>
      </c>
      <c r="AZ71">
        <v>3</v>
      </c>
      <c r="BA71">
        <f t="shared" si="7"/>
        <v>0</v>
      </c>
      <c r="BB71">
        <f t="shared" si="8"/>
        <v>0</v>
      </c>
      <c r="BC71">
        <f t="shared" si="9"/>
        <v>1</v>
      </c>
    </row>
    <row r="72" spans="1:55" x14ac:dyDescent="0.25">
      <c r="A72" s="2">
        <f t="shared" si="6"/>
        <v>71</v>
      </c>
      <c r="B72">
        <v>63</v>
      </c>
      <c r="C72" s="2">
        <v>2004</v>
      </c>
      <c r="D72" s="2">
        <v>3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</v>
      </c>
      <c r="M72" s="2">
        <v>0</v>
      </c>
      <c r="N72" s="2">
        <v>0</v>
      </c>
      <c r="O72" s="2">
        <v>0</v>
      </c>
      <c r="Q72" s="2">
        <v>3</v>
      </c>
      <c r="R72" s="2">
        <v>3</v>
      </c>
      <c r="S72" s="2">
        <v>3</v>
      </c>
      <c r="T72" s="2">
        <v>4</v>
      </c>
      <c r="U72" s="2">
        <v>3</v>
      </c>
      <c r="V72" s="2">
        <v>2</v>
      </c>
      <c r="W72" s="2">
        <v>2</v>
      </c>
      <c r="X72" s="2">
        <v>3</v>
      </c>
      <c r="Y72" s="2">
        <v>2</v>
      </c>
      <c r="Z72" s="2">
        <v>4</v>
      </c>
      <c r="AA72" s="2">
        <v>4</v>
      </c>
      <c r="AB72" s="2">
        <v>4</v>
      </c>
      <c r="AC72" s="2">
        <v>4</v>
      </c>
      <c r="AD72" s="2">
        <v>4</v>
      </c>
      <c r="AE72" s="2">
        <v>3</v>
      </c>
      <c r="AF72" s="2">
        <v>3</v>
      </c>
      <c r="AG72" s="2">
        <v>4</v>
      </c>
      <c r="AH72" s="2">
        <v>4</v>
      </c>
      <c r="AI72" s="2">
        <v>3</v>
      </c>
      <c r="AJ72" s="2">
        <v>3</v>
      </c>
      <c r="AK72" s="2">
        <v>3</v>
      </c>
      <c r="AM72" s="2">
        <v>2</v>
      </c>
      <c r="AN72" s="2">
        <v>5</v>
      </c>
      <c r="AO72" s="2">
        <v>3</v>
      </c>
      <c r="AP72" s="2">
        <v>4</v>
      </c>
      <c r="AQ72" s="2">
        <v>4</v>
      </c>
      <c r="AR72" s="2">
        <v>5</v>
      </c>
      <c r="AS72" s="2">
        <v>2</v>
      </c>
      <c r="AT72" s="2">
        <v>5</v>
      </c>
      <c r="AU72" s="2">
        <v>3</v>
      </c>
      <c r="AV72" s="2">
        <v>3</v>
      </c>
      <c r="AW72" s="2">
        <v>2</v>
      </c>
      <c r="AX72" s="2">
        <v>4</v>
      </c>
      <c r="AY72" s="2">
        <v>4</v>
      </c>
      <c r="AZ72" s="2">
        <v>3</v>
      </c>
      <c r="BA72">
        <f t="shared" si="7"/>
        <v>0</v>
      </c>
      <c r="BB72">
        <f t="shared" si="8"/>
        <v>0</v>
      </c>
      <c r="BC72">
        <f t="shared" si="9"/>
        <v>1</v>
      </c>
    </row>
    <row r="73" spans="1:55" x14ac:dyDescent="0.25">
      <c r="A73" s="2">
        <v>72</v>
      </c>
      <c r="B73">
        <v>64</v>
      </c>
      <c r="C73" s="2">
        <v>1902</v>
      </c>
      <c r="D73" s="2">
        <v>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5</v>
      </c>
      <c r="Q73">
        <v>5</v>
      </c>
      <c r="R73">
        <v>4</v>
      </c>
      <c r="S73">
        <v>4</v>
      </c>
      <c r="T73">
        <v>4</v>
      </c>
      <c r="U73">
        <v>3</v>
      </c>
      <c r="V73">
        <v>2</v>
      </c>
      <c r="W73">
        <v>2</v>
      </c>
      <c r="X73">
        <v>1</v>
      </c>
      <c r="Y73">
        <v>3</v>
      </c>
      <c r="Z73">
        <v>3</v>
      </c>
      <c r="AA73">
        <v>3</v>
      </c>
      <c r="AB73">
        <v>2</v>
      </c>
      <c r="AC73">
        <v>5</v>
      </c>
      <c r="AD73">
        <v>2</v>
      </c>
      <c r="AE73">
        <v>3</v>
      </c>
      <c r="AF73">
        <v>2</v>
      </c>
      <c r="AG73">
        <v>4</v>
      </c>
      <c r="AH73">
        <v>4</v>
      </c>
      <c r="AI73">
        <v>4</v>
      </c>
      <c r="AJ73">
        <v>3</v>
      </c>
      <c r="AK73">
        <v>3</v>
      </c>
      <c r="AL73">
        <v>4</v>
      </c>
      <c r="AM73">
        <v>2</v>
      </c>
      <c r="AN73">
        <v>5</v>
      </c>
      <c r="AO73">
        <v>3</v>
      </c>
      <c r="AP73">
        <v>2</v>
      </c>
      <c r="AQ73">
        <v>4</v>
      </c>
      <c r="AR73">
        <v>4</v>
      </c>
      <c r="AS73">
        <v>3</v>
      </c>
      <c r="AT73">
        <v>4</v>
      </c>
      <c r="AU73">
        <v>1</v>
      </c>
      <c r="AV73">
        <v>5</v>
      </c>
      <c r="AW73">
        <v>2</v>
      </c>
      <c r="AX73">
        <v>5</v>
      </c>
      <c r="AY73">
        <v>3</v>
      </c>
      <c r="AZ73">
        <v>5</v>
      </c>
      <c r="BA73">
        <f t="shared" si="7"/>
        <v>0</v>
      </c>
      <c r="BB73">
        <f t="shared" si="8"/>
        <v>0</v>
      </c>
      <c r="BC73">
        <f t="shared" si="9"/>
        <v>1</v>
      </c>
    </row>
    <row r="74" spans="1:55" x14ac:dyDescent="0.25">
      <c r="A74" s="2">
        <f t="shared" ref="A74:A80" si="10">A73+1</f>
        <v>73</v>
      </c>
      <c r="B74">
        <v>66</v>
      </c>
      <c r="C74" s="2">
        <v>1902</v>
      </c>
      <c r="D74" s="2">
        <v>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5</v>
      </c>
      <c r="Q74">
        <v>4</v>
      </c>
      <c r="R74">
        <v>4</v>
      </c>
      <c r="S74">
        <v>4</v>
      </c>
      <c r="T74">
        <v>4</v>
      </c>
      <c r="U74">
        <v>2</v>
      </c>
      <c r="V74">
        <v>2</v>
      </c>
      <c r="W74">
        <v>3</v>
      </c>
      <c r="X74">
        <v>3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3</v>
      </c>
      <c r="AH74">
        <v>3</v>
      </c>
      <c r="AI74">
        <v>3</v>
      </c>
      <c r="AJ74">
        <v>3</v>
      </c>
      <c r="AK74">
        <v>3</v>
      </c>
      <c r="AL74">
        <v>4</v>
      </c>
      <c r="AM74">
        <v>2</v>
      </c>
      <c r="AN74">
        <v>4</v>
      </c>
      <c r="AO74">
        <v>3</v>
      </c>
      <c r="AP74">
        <v>4</v>
      </c>
      <c r="AQ74">
        <v>4</v>
      </c>
      <c r="AR74">
        <v>5</v>
      </c>
      <c r="AS74">
        <v>2</v>
      </c>
      <c r="AT74">
        <v>4</v>
      </c>
      <c r="AU74">
        <v>2</v>
      </c>
      <c r="AV74">
        <v>3</v>
      </c>
      <c r="AW74">
        <v>2</v>
      </c>
      <c r="AX74">
        <v>4</v>
      </c>
      <c r="AY74">
        <v>2</v>
      </c>
      <c r="AZ74">
        <v>5</v>
      </c>
      <c r="BA74">
        <f t="shared" si="7"/>
        <v>0</v>
      </c>
      <c r="BB74">
        <f t="shared" si="8"/>
        <v>0</v>
      </c>
      <c r="BC74">
        <f t="shared" si="9"/>
        <v>1</v>
      </c>
    </row>
    <row r="75" spans="1:55" x14ac:dyDescent="0.25">
      <c r="A75" s="2">
        <f t="shared" si="10"/>
        <v>74</v>
      </c>
      <c r="B75">
        <v>72</v>
      </c>
      <c r="C75" s="2">
        <v>1924</v>
      </c>
      <c r="D75" s="2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3</v>
      </c>
      <c r="Q75">
        <v>3</v>
      </c>
      <c r="R75">
        <v>3</v>
      </c>
      <c r="S75">
        <v>3</v>
      </c>
      <c r="T75">
        <v>3</v>
      </c>
      <c r="U75">
        <v>4</v>
      </c>
      <c r="V75">
        <v>3</v>
      </c>
      <c r="W75">
        <v>3</v>
      </c>
      <c r="X75">
        <v>2</v>
      </c>
      <c r="Y75">
        <v>3</v>
      </c>
      <c r="Z75">
        <v>3</v>
      </c>
      <c r="AA75">
        <v>3</v>
      </c>
      <c r="AB75">
        <v>3</v>
      </c>
      <c r="AC75">
        <v>2</v>
      </c>
      <c r="AD75">
        <v>2</v>
      </c>
      <c r="AE75">
        <v>2</v>
      </c>
      <c r="AF75">
        <v>3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3</v>
      </c>
      <c r="AM75">
        <v>2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2</v>
      </c>
      <c r="AT75">
        <v>4</v>
      </c>
      <c r="AU75">
        <v>2</v>
      </c>
      <c r="AV75">
        <v>4</v>
      </c>
      <c r="AW75">
        <v>2</v>
      </c>
      <c r="AX75">
        <v>4</v>
      </c>
      <c r="AY75">
        <v>4</v>
      </c>
      <c r="AZ75">
        <v>4</v>
      </c>
      <c r="BA75">
        <f t="shared" si="7"/>
        <v>0</v>
      </c>
      <c r="BB75">
        <f t="shared" si="8"/>
        <v>0</v>
      </c>
      <c r="BC75">
        <f t="shared" si="9"/>
        <v>1</v>
      </c>
    </row>
    <row r="76" spans="1:55" x14ac:dyDescent="0.25">
      <c r="A76" s="2">
        <f t="shared" si="10"/>
        <v>75</v>
      </c>
      <c r="B76">
        <v>74</v>
      </c>
      <c r="C76" s="2">
        <v>2020</v>
      </c>
      <c r="D76" s="2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3</v>
      </c>
      <c r="Q76">
        <v>2</v>
      </c>
      <c r="R76">
        <v>3</v>
      </c>
      <c r="S76">
        <v>3</v>
      </c>
      <c r="T76">
        <v>4</v>
      </c>
      <c r="U76">
        <v>4</v>
      </c>
      <c r="V76">
        <v>4</v>
      </c>
      <c r="W76">
        <v>4</v>
      </c>
      <c r="X76">
        <v>4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5</v>
      </c>
      <c r="AH76">
        <v>7</v>
      </c>
      <c r="AI76">
        <v>6</v>
      </c>
      <c r="AJ76">
        <v>6</v>
      </c>
      <c r="AK76">
        <v>6</v>
      </c>
      <c r="AL76">
        <v>5</v>
      </c>
      <c r="AM76">
        <v>1</v>
      </c>
      <c r="AN76">
        <v>5</v>
      </c>
      <c r="AO76">
        <v>1</v>
      </c>
      <c r="AP76">
        <v>5</v>
      </c>
      <c r="AQ76">
        <v>3</v>
      </c>
      <c r="AR76">
        <v>5</v>
      </c>
      <c r="AS76">
        <v>1</v>
      </c>
      <c r="AT76">
        <v>5</v>
      </c>
      <c r="AU76">
        <v>1</v>
      </c>
      <c r="AV76">
        <v>5</v>
      </c>
      <c r="AW76">
        <v>1</v>
      </c>
      <c r="AX76">
        <v>5</v>
      </c>
      <c r="AY76">
        <v>1</v>
      </c>
      <c r="AZ76">
        <v>5</v>
      </c>
      <c r="BA76">
        <f t="shared" si="7"/>
        <v>0</v>
      </c>
      <c r="BB76">
        <f t="shared" si="8"/>
        <v>0</v>
      </c>
      <c r="BC76">
        <f t="shared" si="9"/>
        <v>1</v>
      </c>
    </row>
    <row r="77" spans="1:55" x14ac:dyDescent="0.25">
      <c r="A77" s="2">
        <f t="shared" si="10"/>
        <v>76</v>
      </c>
      <c r="B77">
        <v>76</v>
      </c>
      <c r="C77" s="2">
        <v>1902</v>
      </c>
      <c r="D77" s="2">
        <v>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5</v>
      </c>
      <c r="Q77">
        <v>4</v>
      </c>
      <c r="R77">
        <v>3</v>
      </c>
      <c r="S77">
        <v>3</v>
      </c>
      <c r="T77">
        <v>5</v>
      </c>
      <c r="U77">
        <v>3</v>
      </c>
      <c r="V77">
        <v>3</v>
      </c>
      <c r="W77">
        <v>2</v>
      </c>
      <c r="X77">
        <v>2</v>
      </c>
      <c r="Y77">
        <v>3</v>
      </c>
      <c r="Z77">
        <v>3</v>
      </c>
      <c r="AA77">
        <v>3</v>
      </c>
      <c r="AB77">
        <v>2</v>
      </c>
      <c r="AC77">
        <v>4</v>
      </c>
      <c r="AD77">
        <v>3</v>
      </c>
      <c r="AE77">
        <v>1</v>
      </c>
      <c r="AF77">
        <v>5</v>
      </c>
      <c r="AG77">
        <v>3</v>
      </c>
      <c r="AH77">
        <v>3</v>
      </c>
      <c r="AI77">
        <v>3</v>
      </c>
      <c r="AJ77">
        <v>2</v>
      </c>
      <c r="AK77">
        <v>2</v>
      </c>
      <c r="AL77">
        <v>3</v>
      </c>
      <c r="AM77">
        <v>1</v>
      </c>
      <c r="AN77">
        <v>3</v>
      </c>
      <c r="AO77">
        <v>3</v>
      </c>
      <c r="AP77">
        <v>4</v>
      </c>
      <c r="AQ77">
        <v>4</v>
      </c>
      <c r="AR77">
        <v>5</v>
      </c>
      <c r="AS77">
        <v>2</v>
      </c>
      <c r="AT77">
        <v>5</v>
      </c>
      <c r="AU77">
        <v>2</v>
      </c>
      <c r="AV77">
        <v>5</v>
      </c>
      <c r="AW77">
        <v>4</v>
      </c>
      <c r="AX77">
        <v>5</v>
      </c>
      <c r="AY77">
        <v>2</v>
      </c>
      <c r="AZ77">
        <v>3</v>
      </c>
      <c r="BA77">
        <f t="shared" si="7"/>
        <v>0</v>
      </c>
      <c r="BB77">
        <f t="shared" si="8"/>
        <v>0</v>
      </c>
      <c r="BC77">
        <f t="shared" si="9"/>
        <v>1</v>
      </c>
    </row>
    <row r="78" spans="1:55" x14ac:dyDescent="0.25">
      <c r="A78" s="2">
        <f t="shared" si="10"/>
        <v>77</v>
      </c>
      <c r="B78">
        <v>77</v>
      </c>
      <c r="C78" s="2">
        <v>1903</v>
      </c>
      <c r="D78" s="2">
        <v>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5</v>
      </c>
      <c r="Q78">
        <v>4</v>
      </c>
      <c r="R78">
        <v>5</v>
      </c>
      <c r="S78">
        <v>4</v>
      </c>
      <c r="T78">
        <v>5</v>
      </c>
      <c r="U78">
        <v>4</v>
      </c>
      <c r="V78">
        <v>3</v>
      </c>
      <c r="W78">
        <v>2</v>
      </c>
      <c r="X78">
        <v>2</v>
      </c>
      <c r="Y78">
        <v>3</v>
      </c>
      <c r="Z78">
        <v>2</v>
      </c>
      <c r="AA78">
        <v>3</v>
      </c>
      <c r="AB78">
        <v>2</v>
      </c>
      <c r="AC78">
        <v>2</v>
      </c>
      <c r="AD78">
        <v>2</v>
      </c>
      <c r="AE78">
        <v>3</v>
      </c>
      <c r="AF78">
        <v>3</v>
      </c>
      <c r="AH78">
        <v>5</v>
      </c>
      <c r="AI78">
        <v>3</v>
      </c>
      <c r="AJ78">
        <v>6</v>
      </c>
      <c r="AK78">
        <v>4</v>
      </c>
      <c r="AL78">
        <v>3</v>
      </c>
      <c r="AM78">
        <v>2</v>
      </c>
      <c r="AN78">
        <v>4</v>
      </c>
      <c r="AO78">
        <v>3</v>
      </c>
      <c r="AP78">
        <v>4</v>
      </c>
      <c r="AQ78">
        <v>4</v>
      </c>
      <c r="AR78">
        <v>4</v>
      </c>
      <c r="AS78">
        <v>3</v>
      </c>
      <c r="AT78">
        <v>4</v>
      </c>
      <c r="AU78">
        <v>2</v>
      </c>
      <c r="AV78">
        <v>3</v>
      </c>
      <c r="AW78">
        <v>2</v>
      </c>
      <c r="AX78">
        <v>4</v>
      </c>
      <c r="AY78">
        <v>3</v>
      </c>
      <c r="AZ78">
        <v>4</v>
      </c>
      <c r="BA78">
        <f t="shared" si="7"/>
        <v>0</v>
      </c>
      <c r="BB78">
        <f t="shared" si="8"/>
        <v>0</v>
      </c>
      <c r="BC78">
        <f t="shared" si="9"/>
        <v>1</v>
      </c>
    </row>
    <row r="79" spans="1:55" x14ac:dyDescent="0.25">
      <c r="A79" s="2">
        <f t="shared" si="10"/>
        <v>78</v>
      </c>
      <c r="B79">
        <v>80</v>
      </c>
      <c r="C79" s="2">
        <v>2011</v>
      </c>
      <c r="D79" s="2">
        <v>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5</v>
      </c>
      <c r="Q79">
        <v>5</v>
      </c>
      <c r="R79">
        <v>2</v>
      </c>
      <c r="S79">
        <v>2</v>
      </c>
      <c r="T79">
        <v>5</v>
      </c>
      <c r="U79">
        <v>2</v>
      </c>
      <c r="V79">
        <v>2</v>
      </c>
      <c r="W79">
        <v>2</v>
      </c>
      <c r="X79">
        <v>2</v>
      </c>
      <c r="Y79">
        <v>7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I79">
        <v>2</v>
      </c>
      <c r="AJ79">
        <v>2</v>
      </c>
      <c r="AK79">
        <v>2</v>
      </c>
      <c r="AL79">
        <v>5</v>
      </c>
      <c r="AM79">
        <v>2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2</v>
      </c>
      <c r="AT79">
        <v>4</v>
      </c>
      <c r="AU79">
        <v>4</v>
      </c>
      <c r="AV79">
        <v>5</v>
      </c>
      <c r="AW79">
        <v>2</v>
      </c>
      <c r="AX79">
        <v>5</v>
      </c>
      <c r="AY79">
        <v>4</v>
      </c>
      <c r="AZ79">
        <v>5</v>
      </c>
      <c r="BA79">
        <f t="shared" si="7"/>
        <v>0</v>
      </c>
      <c r="BB79">
        <f t="shared" si="8"/>
        <v>0</v>
      </c>
      <c r="BC79">
        <f t="shared" si="9"/>
        <v>1</v>
      </c>
    </row>
    <row r="80" spans="1:55" x14ac:dyDescent="0.25">
      <c r="A80" s="2">
        <f t="shared" si="10"/>
        <v>79</v>
      </c>
      <c r="B80">
        <v>81</v>
      </c>
      <c r="C80" s="2">
        <v>2012</v>
      </c>
      <c r="D80" s="2">
        <v>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4</v>
      </c>
      <c r="Q80">
        <v>4</v>
      </c>
      <c r="R80">
        <v>4</v>
      </c>
      <c r="S80">
        <v>3</v>
      </c>
      <c r="T80">
        <v>3</v>
      </c>
      <c r="U80">
        <v>3</v>
      </c>
      <c r="V80">
        <v>4</v>
      </c>
      <c r="W80">
        <v>2</v>
      </c>
      <c r="X80">
        <v>1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3</v>
      </c>
      <c r="AF80">
        <v>4</v>
      </c>
      <c r="AG80">
        <v>3</v>
      </c>
      <c r="AH80">
        <v>4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4</v>
      </c>
      <c r="AO80">
        <v>4</v>
      </c>
      <c r="AP80">
        <v>4</v>
      </c>
      <c r="AQ80">
        <v>4</v>
      </c>
      <c r="AR80">
        <v>4</v>
      </c>
      <c r="AS80">
        <v>4</v>
      </c>
      <c r="AT80">
        <v>4</v>
      </c>
      <c r="AU80">
        <v>3</v>
      </c>
      <c r="AV80">
        <v>4</v>
      </c>
      <c r="AW80">
        <v>3</v>
      </c>
      <c r="AX80">
        <v>4</v>
      </c>
      <c r="AY80">
        <v>3</v>
      </c>
      <c r="AZ80">
        <v>4</v>
      </c>
      <c r="BA80">
        <f t="shared" si="7"/>
        <v>0</v>
      </c>
      <c r="BB80">
        <f t="shared" si="8"/>
        <v>0</v>
      </c>
      <c r="BC80">
        <f t="shared" si="9"/>
        <v>1</v>
      </c>
    </row>
    <row r="81" spans="1:55" x14ac:dyDescent="0.25">
      <c r="A81" s="2">
        <v>80</v>
      </c>
      <c r="B81">
        <v>85</v>
      </c>
      <c r="C81" s="2">
        <v>1902</v>
      </c>
      <c r="D81" s="2">
        <v>3</v>
      </c>
      <c r="E81" s="2">
        <v>1</v>
      </c>
      <c r="F81" s="2">
        <v>1</v>
      </c>
      <c r="G81" s="2">
        <v>0</v>
      </c>
      <c r="H81" s="2">
        <v>1</v>
      </c>
      <c r="I81" s="2">
        <v>0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0</v>
      </c>
      <c r="P81" s="2">
        <v>4</v>
      </c>
      <c r="Q81" s="2">
        <v>5</v>
      </c>
      <c r="R81" s="2">
        <v>3</v>
      </c>
      <c r="S81" s="2">
        <v>2</v>
      </c>
      <c r="T81" s="2">
        <v>3</v>
      </c>
      <c r="U81" s="2">
        <v>3</v>
      </c>
      <c r="V81" s="2">
        <v>2</v>
      </c>
      <c r="W81" s="2">
        <v>3</v>
      </c>
      <c r="X81" s="2">
        <v>4</v>
      </c>
      <c r="Y81" s="2">
        <v>5</v>
      </c>
      <c r="Z81" s="2">
        <v>2</v>
      </c>
      <c r="AA81" s="2">
        <v>6</v>
      </c>
      <c r="AB81" s="2">
        <v>7</v>
      </c>
      <c r="AC81" s="2">
        <v>3</v>
      </c>
      <c r="AD81" s="2">
        <v>2</v>
      </c>
      <c r="AE81" s="2">
        <v>3</v>
      </c>
      <c r="AF81" s="2">
        <v>4</v>
      </c>
      <c r="AG81" s="2">
        <v>4</v>
      </c>
      <c r="AH81" s="2">
        <v>2</v>
      </c>
      <c r="AI81" s="2">
        <v>7</v>
      </c>
      <c r="AJ81" s="2">
        <v>5</v>
      </c>
      <c r="AK81" s="2">
        <v>3</v>
      </c>
      <c r="AL81" s="2">
        <v>4</v>
      </c>
      <c r="AM81" s="2">
        <v>3</v>
      </c>
      <c r="AN81" s="2">
        <v>3</v>
      </c>
      <c r="AO81" s="2">
        <v>2</v>
      </c>
      <c r="AP81" s="2">
        <v>3</v>
      </c>
      <c r="AQ81" s="2">
        <v>5</v>
      </c>
      <c r="AS81" s="2">
        <v>5</v>
      </c>
      <c r="AT81" s="2">
        <v>5</v>
      </c>
      <c r="AU81" s="2">
        <v>5</v>
      </c>
      <c r="AV81" s="2">
        <v>4</v>
      </c>
      <c r="AW81" s="2">
        <v>3</v>
      </c>
      <c r="AX81" s="2">
        <v>1</v>
      </c>
      <c r="AY81" s="2">
        <v>3</v>
      </c>
      <c r="AZ81" s="2">
        <v>3</v>
      </c>
      <c r="BA81">
        <f t="shared" si="7"/>
        <v>0</v>
      </c>
      <c r="BB81">
        <f t="shared" si="8"/>
        <v>0</v>
      </c>
      <c r="BC81">
        <f t="shared" si="9"/>
        <v>1</v>
      </c>
    </row>
    <row r="82" spans="1:55" x14ac:dyDescent="0.25">
      <c r="A82" s="2">
        <f t="shared" ref="A82:A97" si="11">A81+1</f>
        <v>81</v>
      </c>
      <c r="B82">
        <v>86</v>
      </c>
      <c r="C82" s="2">
        <v>1903</v>
      </c>
      <c r="D82" s="2">
        <v>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5</v>
      </c>
      <c r="Q82">
        <v>4</v>
      </c>
      <c r="R82">
        <v>4</v>
      </c>
      <c r="S82">
        <v>4</v>
      </c>
      <c r="T82">
        <v>4</v>
      </c>
      <c r="U82">
        <v>2</v>
      </c>
      <c r="V82">
        <v>2</v>
      </c>
      <c r="W82">
        <v>2</v>
      </c>
      <c r="X82">
        <v>1</v>
      </c>
      <c r="Y82">
        <v>4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3</v>
      </c>
      <c r="AF82">
        <v>5</v>
      </c>
      <c r="AG82">
        <v>5</v>
      </c>
      <c r="AH82">
        <v>4</v>
      </c>
      <c r="AI82">
        <v>2</v>
      </c>
      <c r="AJ82">
        <v>2</v>
      </c>
      <c r="AK82">
        <v>2</v>
      </c>
      <c r="AL82">
        <v>4</v>
      </c>
      <c r="AM82">
        <v>4</v>
      </c>
      <c r="AN82">
        <v>2</v>
      </c>
      <c r="AO82">
        <v>4</v>
      </c>
      <c r="AP82">
        <v>4</v>
      </c>
      <c r="AQ82">
        <v>4</v>
      </c>
      <c r="AR82">
        <v>2</v>
      </c>
      <c r="AS82">
        <v>4</v>
      </c>
      <c r="AT82">
        <v>3</v>
      </c>
      <c r="AU82">
        <v>4</v>
      </c>
      <c r="AV82">
        <v>3</v>
      </c>
      <c r="AW82">
        <v>4</v>
      </c>
      <c r="AX82">
        <v>2</v>
      </c>
      <c r="AY82">
        <v>2</v>
      </c>
      <c r="AZ82">
        <v>2</v>
      </c>
      <c r="BA82">
        <f t="shared" si="7"/>
        <v>0</v>
      </c>
      <c r="BB82">
        <f t="shared" si="8"/>
        <v>0</v>
      </c>
      <c r="BC82">
        <f t="shared" si="9"/>
        <v>1</v>
      </c>
    </row>
    <row r="83" spans="1:55" x14ac:dyDescent="0.25">
      <c r="A83" s="2">
        <f t="shared" si="11"/>
        <v>82</v>
      </c>
      <c r="B83">
        <v>88</v>
      </c>
      <c r="C83" s="2">
        <v>2027</v>
      </c>
      <c r="D83" s="2">
        <v>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3</v>
      </c>
      <c r="Y83">
        <v>2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2</v>
      </c>
      <c r="AH83">
        <v>7</v>
      </c>
      <c r="AI83">
        <v>3</v>
      </c>
      <c r="AJ83">
        <v>3</v>
      </c>
      <c r="AK83">
        <v>3</v>
      </c>
      <c r="AL83">
        <v>3</v>
      </c>
      <c r="AM83">
        <v>3</v>
      </c>
      <c r="AN83">
        <v>3</v>
      </c>
      <c r="AO83">
        <v>3</v>
      </c>
      <c r="AP83">
        <v>5</v>
      </c>
      <c r="AQ83">
        <v>4</v>
      </c>
      <c r="AR83">
        <v>5</v>
      </c>
      <c r="AS83">
        <v>3</v>
      </c>
      <c r="AT83">
        <v>4</v>
      </c>
      <c r="AU83">
        <v>2</v>
      </c>
      <c r="AV83">
        <v>4</v>
      </c>
      <c r="AW83">
        <v>3</v>
      </c>
      <c r="AX83">
        <v>4</v>
      </c>
      <c r="AY83">
        <v>1</v>
      </c>
      <c r="AZ83">
        <v>4</v>
      </c>
      <c r="BA83">
        <f t="shared" si="7"/>
        <v>0</v>
      </c>
      <c r="BB83">
        <f t="shared" si="8"/>
        <v>0</v>
      </c>
      <c r="BC83">
        <f t="shared" si="9"/>
        <v>1</v>
      </c>
    </row>
    <row r="84" spans="1:55" x14ac:dyDescent="0.25">
      <c r="A84" s="2">
        <f t="shared" si="11"/>
        <v>83</v>
      </c>
      <c r="B84">
        <v>90</v>
      </c>
      <c r="C84" s="2">
        <v>1902</v>
      </c>
      <c r="D84" s="2">
        <v>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5</v>
      </c>
      <c r="Q84">
        <v>4</v>
      </c>
      <c r="R84">
        <v>4</v>
      </c>
      <c r="S84">
        <v>4</v>
      </c>
      <c r="T84">
        <v>5</v>
      </c>
      <c r="U84">
        <v>3</v>
      </c>
      <c r="V84">
        <v>3</v>
      </c>
      <c r="W84">
        <v>3</v>
      </c>
      <c r="X84">
        <v>3</v>
      </c>
      <c r="Z84">
        <v>3</v>
      </c>
      <c r="AB84">
        <v>1</v>
      </c>
      <c r="AD84">
        <v>2</v>
      </c>
      <c r="AE84">
        <v>1</v>
      </c>
      <c r="AF84">
        <v>6</v>
      </c>
      <c r="AG84">
        <v>4</v>
      </c>
      <c r="AI84">
        <v>2</v>
      </c>
      <c r="AJ84">
        <v>3</v>
      </c>
      <c r="AK84">
        <v>4</v>
      </c>
      <c r="AL84">
        <v>3</v>
      </c>
      <c r="AM84">
        <v>4</v>
      </c>
      <c r="AN84">
        <v>3</v>
      </c>
      <c r="AO84">
        <v>4</v>
      </c>
      <c r="AP84">
        <v>5</v>
      </c>
      <c r="AQ84">
        <v>5</v>
      </c>
      <c r="AR84">
        <v>5</v>
      </c>
      <c r="AS84">
        <v>2</v>
      </c>
      <c r="AT84">
        <v>5</v>
      </c>
      <c r="AU84">
        <v>3</v>
      </c>
      <c r="AV84">
        <v>4</v>
      </c>
      <c r="AW84">
        <v>2</v>
      </c>
      <c r="AX84">
        <v>5</v>
      </c>
      <c r="AY84">
        <v>3</v>
      </c>
      <c r="AZ84">
        <v>3</v>
      </c>
      <c r="BA84">
        <f t="shared" si="7"/>
        <v>0</v>
      </c>
      <c r="BB84">
        <f t="shared" si="8"/>
        <v>0</v>
      </c>
      <c r="BC84">
        <f t="shared" si="9"/>
        <v>1</v>
      </c>
    </row>
    <row r="85" spans="1:55" x14ac:dyDescent="0.25">
      <c r="A85" s="2">
        <f t="shared" si="11"/>
        <v>84</v>
      </c>
      <c r="B85">
        <v>93</v>
      </c>
      <c r="C85" s="2">
        <v>2004</v>
      </c>
      <c r="D85" s="2">
        <v>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5</v>
      </c>
      <c r="Q85">
        <v>5</v>
      </c>
      <c r="R85">
        <v>5</v>
      </c>
      <c r="S85">
        <v>5</v>
      </c>
      <c r="T85">
        <v>5</v>
      </c>
      <c r="U85">
        <v>2</v>
      </c>
      <c r="V85">
        <v>2</v>
      </c>
      <c r="W85">
        <v>2</v>
      </c>
      <c r="X85">
        <v>1</v>
      </c>
      <c r="Y85">
        <v>2</v>
      </c>
      <c r="Z85">
        <v>3</v>
      </c>
      <c r="AA85">
        <v>3</v>
      </c>
      <c r="AB85">
        <v>3</v>
      </c>
      <c r="AC85">
        <v>3</v>
      </c>
      <c r="AD85">
        <v>3</v>
      </c>
      <c r="AE85">
        <v>2</v>
      </c>
      <c r="AF85">
        <v>3</v>
      </c>
      <c r="AG85">
        <v>4</v>
      </c>
      <c r="AH85">
        <v>4</v>
      </c>
      <c r="AI85">
        <v>4</v>
      </c>
      <c r="AJ85">
        <v>4</v>
      </c>
      <c r="AK85">
        <v>3</v>
      </c>
      <c r="AL85">
        <v>2</v>
      </c>
      <c r="AM85">
        <v>4</v>
      </c>
      <c r="AN85">
        <v>3</v>
      </c>
      <c r="AO85">
        <v>4</v>
      </c>
      <c r="AP85">
        <v>5</v>
      </c>
      <c r="AQ85">
        <v>5</v>
      </c>
      <c r="AR85">
        <v>4</v>
      </c>
      <c r="AS85">
        <v>2</v>
      </c>
      <c r="AT85">
        <v>3</v>
      </c>
      <c r="AU85">
        <v>2</v>
      </c>
      <c r="AV85">
        <v>4</v>
      </c>
      <c r="AW85">
        <v>1</v>
      </c>
      <c r="AX85">
        <v>3</v>
      </c>
      <c r="AY85">
        <v>4</v>
      </c>
      <c r="AZ85">
        <v>4</v>
      </c>
      <c r="BA85">
        <f t="shared" si="7"/>
        <v>0</v>
      </c>
      <c r="BB85">
        <f t="shared" si="8"/>
        <v>0</v>
      </c>
      <c r="BC85">
        <f t="shared" si="9"/>
        <v>1</v>
      </c>
    </row>
    <row r="86" spans="1:55" x14ac:dyDescent="0.25">
      <c r="A86" s="2">
        <f t="shared" si="11"/>
        <v>85</v>
      </c>
      <c r="B86">
        <v>95</v>
      </c>
      <c r="C86" s="2">
        <v>1902</v>
      </c>
      <c r="D86" s="2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5</v>
      </c>
      <c r="Q86">
        <v>5</v>
      </c>
      <c r="R86">
        <v>5</v>
      </c>
      <c r="S86">
        <v>5</v>
      </c>
      <c r="T86">
        <v>5</v>
      </c>
      <c r="U86">
        <v>4</v>
      </c>
      <c r="V86">
        <v>4</v>
      </c>
      <c r="W86">
        <v>4</v>
      </c>
      <c r="X86">
        <v>4</v>
      </c>
      <c r="Y86">
        <v>3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L86">
        <v>3</v>
      </c>
      <c r="AM86">
        <v>3</v>
      </c>
      <c r="AN86">
        <v>3</v>
      </c>
      <c r="AO86">
        <v>3</v>
      </c>
      <c r="AP86">
        <v>4</v>
      </c>
      <c r="AQ86">
        <v>4</v>
      </c>
      <c r="AR86">
        <v>4</v>
      </c>
      <c r="AS86">
        <v>2</v>
      </c>
      <c r="AT86">
        <v>4</v>
      </c>
      <c r="AU86">
        <v>1</v>
      </c>
      <c r="AW86">
        <v>2</v>
      </c>
      <c r="AX86">
        <v>4</v>
      </c>
      <c r="AY86">
        <v>2</v>
      </c>
      <c r="BA86">
        <f t="shared" si="7"/>
        <v>0</v>
      </c>
      <c r="BB86">
        <f t="shared" si="8"/>
        <v>0</v>
      </c>
      <c r="BC86">
        <f t="shared" si="9"/>
        <v>1</v>
      </c>
    </row>
    <row r="87" spans="1:55" x14ac:dyDescent="0.25">
      <c r="A87" s="2">
        <f t="shared" si="11"/>
        <v>86</v>
      </c>
      <c r="B87">
        <v>96</v>
      </c>
      <c r="C87" s="2">
        <v>1902</v>
      </c>
      <c r="D87" s="2">
        <v>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4</v>
      </c>
      <c r="Q87">
        <v>4</v>
      </c>
      <c r="R87">
        <v>3</v>
      </c>
      <c r="S87">
        <v>3</v>
      </c>
      <c r="T87">
        <v>4</v>
      </c>
      <c r="U87">
        <v>2</v>
      </c>
      <c r="V87">
        <v>2</v>
      </c>
      <c r="W87">
        <v>1</v>
      </c>
      <c r="X87">
        <v>1</v>
      </c>
      <c r="Y87">
        <v>2</v>
      </c>
      <c r="Z87">
        <v>3</v>
      </c>
      <c r="AA87">
        <v>3</v>
      </c>
      <c r="AB87">
        <v>3</v>
      </c>
      <c r="AC87">
        <v>4</v>
      </c>
      <c r="AD87">
        <v>3</v>
      </c>
      <c r="AE87">
        <v>2</v>
      </c>
      <c r="AF87">
        <v>3</v>
      </c>
      <c r="AG87">
        <v>4</v>
      </c>
      <c r="AH87">
        <v>3</v>
      </c>
      <c r="AI87">
        <v>2</v>
      </c>
      <c r="AJ87">
        <v>3</v>
      </c>
      <c r="AK87">
        <v>2</v>
      </c>
      <c r="AL87">
        <v>4</v>
      </c>
      <c r="AM87">
        <v>2</v>
      </c>
      <c r="AN87">
        <v>4</v>
      </c>
      <c r="AO87">
        <v>4</v>
      </c>
      <c r="AP87">
        <v>4</v>
      </c>
      <c r="AQ87">
        <v>4</v>
      </c>
      <c r="AR87">
        <v>3</v>
      </c>
      <c r="AS87">
        <v>4</v>
      </c>
      <c r="AT87">
        <v>4</v>
      </c>
      <c r="AU87">
        <v>3</v>
      </c>
      <c r="AV87">
        <v>4</v>
      </c>
      <c r="AW87">
        <v>3</v>
      </c>
      <c r="AX87">
        <v>4</v>
      </c>
      <c r="AY87">
        <v>3</v>
      </c>
      <c r="AZ87">
        <v>4</v>
      </c>
      <c r="BA87">
        <f t="shared" si="7"/>
        <v>0</v>
      </c>
      <c r="BB87">
        <f t="shared" si="8"/>
        <v>0</v>
      </c>
      <c r="BC87">
        <f t="shared" si="9"/>
        <v>1</v>
      </c>
    </row>
    <row r="88" spans="1:55" x14ac:dyDescent="0.25">
      <c r="A88" s="2">
        <f t="shared" si="11"/>
        <v>87</v>
      </c>
      <c r="B88">
        <v>98</v>
      </c>
      <c r="C88" s="2">
        <v>1902</v>
      </c>
      <c r="D88" s="2">
        <v>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5</v>
      </c>
      <c r="Q88">
        <v>5</v>
      </c>
      <c r="R88">
        <v>4</v>
      </c>
      <c r="S88">
        <v>4</v>
      </c>
      <c r="T88">
        <v>4</v>
      </c>
      <c r="U88">
        <v>3</v>
      </c>
      <c r="V88">
        <v>3</v>
      </c>
      <c r="W88">
        <v>3</v>
      </c>
      <c r="X88">
        <v>3</v>
      </c>
      <c r="Y88">
        <v>2</v>
      </c>
      <c r="Z88">
        <v>2</v>
      </c>
      <c r="AA88">
        <v>2</v>
      </c>
      <c r="AE88">
        <v>2</v>
      </c>
      <c r="AG88">
        <v>3</v>
      </c>
      <c r="AI88">
        <v>3</v>
      </c>
      <c r="AL88">
        <v>4</v>
      </c>
      <c r="AM88">
        <v>4</v>
      </c>
      <c r="AN88">
        <v>4</v>
      </c>
      <c r="AO88">
        <v>3</v>
      </c>
      <c r="AP88">
        <v>4</v>
      </c>
      <c r="AQ88">
        <v>4</v>
      </c>
      <c r="AR88">
        <v>4</v>
      </c>
      <c r="AS88">
        <v>2</v>
      </c>
      <c r="AT88">
        <v>5</v>
      </c>
      <c r="AU88">
        <v>1</v>
      </c>
      <c r="AV88">
        <v>4</v>
      </c>
      <c r="AW88">
        <v>1</v>
      </c>
      <c r="AX88">
        <v>4</v>
      </c>
      <c r="AY88">
        <v>2</v>
      </c>
      <c r="AZ88">
        <v>4</v>
      </c>
      <c r="BA88">
        <f t="shared" si="7"/>
        <v>0</v>
      </c>
      <c r="BB88">
        <f t="shared" si="8"/>
        <v>0</v>
      </c>
      <c r="BC88">
        <f t="shared" si="9"/>
        <v>1</v>
      </c>
    </row>
    <row r="89" spans="1:55" x14ac:dyDescent="0.25">
      <c r="A89" s="2">
        <f t="shared" si="11"/>
        <v>88</v>
      </c>
      <c r="B89">
        <v>100</v>
      </c>
      <c r="C89" s="2">
        <v>1941</v>
      </c>
      <c r="D89" s="2">
        <v>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5</v>
      </c>
      <c r="Q89">
        <v>5</v>
      </c>
      <c r="R89">
        <v>5</v>
      </c>
      <c r="S89">
        <v>5</v>
      </c>
      <c r="T89">
        <v>5</v>
      </c>
      <c r="U89">
        <v>3</v>
      </c>
      <c r="V89">
        <v>3</v>
      </c>
      <c r="W89">
        <v>3</v>
      </c>
      <c r="X89">
        <v>3</v>
      </c>
      <c r="Y89">
        <v>2</v>
      </c>
      <c r="Z89">
        <v>2</v>
      </c>
      <c r="AA89">
        <v>2</v>
      </c>
      <c r="AB89">
        <v>2</v>
      </c>
      <c r="AE89">
        <v>4</v>
      </c>
      <c r="AF89">
        <v>3</v>
      </c>
      <c r="AG89">
        <v>4</v>
      </c>
      <c r="AH89">
        <v>4</v>
      </c>
      <c r="AI89">
        <v>3</v>
      </c>
      <c r="AK89">
        <v>3</v>
      </c>
      <c r="AL89">
        <v>2</v>
      </c>
      <c r="AM89">
        <v>2</v>
      </c>
      <c r="AN89">
        <v>4</v>
      </c>
      <c r="AO89">
        <v>3</v>
      </c>
      <c r="AP89">
        <v>3</v>
      </c>
      <c r="AQ89">
        <v>4</v>
      </c>
      <c r="AR89">
        <v>3</v>
      </c>
      <c r="AS89">
        <v>3</v>
      </c>
      <c r="AU89">
        <v>4</v>
      </c>
      <c r="AV89">
        <v>3</v>
      </c>
      <c r="AW89">
        <v>4</v>
      </c>
      <c r="AX89">
        <v>4</v>
      </c>
      <c r="AZ89">
        <v>3</v>
      </c>
      <c r="BA89">
        <f t="shared" si="7"/>
        <v>0</v>
      </c>
      <c r="BB89">
        <f t="shared" si="8"/>
        <v>0</v>
      </c>
      <c r="BC89">
        <f t="shared" si="9"/>
        <v>1</v>
      </c>
    </row>
    <row r="90" spans="1:55" x14ac:dyDescent="0.25">
      <c r="A90" s="2">
        <f t="shared" si="11"/>
        <v>89</v>
      </c>
      <c r="B90">
        <v>102</v>
      </c>
      <c r="C90" s="2">
        <v>1933</v>
      </c>
      <c r="D90" s="2">
        <v>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5</v>
      </c>
      <c r="Q90">
        <v>5</v>
      </c>
      <c r="R90">
        <v>4</v>
      </c>
      <c r="S90">
        <v>4</v>
      </c>
      <c r="T90">
        <v>5</v>
      </c>
      <c r="U90">
        <v>2</v>
      </c>
      <c r="V90">
        <v>2</v>
      </c>
      <c r="W90">
        <v>1</v>
      </c>
      <c r="X90">
        <v>1</v>
      </c>
      <c r="Y90">
        <v>2</v>
      </c>
      <c r="Z90">
        <v>2</v>
      </c>
      <c r="AA90">
        <v>2</v>
      </c>
      <c r="AB90">
        <v>2</v>
      </c>
      <c r="AC90">
        <v>2</v>
      </c>
      <c r="AF90">
        <v>1</v>
      </c>
      <c r="AG90">
        <v>7</v>
      </c>
      <c r="AI90">
        <v>5</v>
      </c>
      <c r="AL90">
        <v>3</v>
      </c>
      <c r="AM90">
        <v>1</v>
      </c>
      <c r="AN90">
        <v>3</v>
      </c>
      <c r="AP90">
        <v>3</v>
      </c>
      <c r="AQ90">
        <v>3</v>
      </c>
      <c r="AR90">
        <v>5</v>
      </c>
      <c r="AS90">
        <v>2</v>
      </c>
      <c r="AT90">
        <v>4</v>
      </c>
      <c r="AU90">
        <v>2</v>
      </c>
      <c r="AW90">
        <v>1</v>
      </c>
      <c r="AX90">
        <v>5</v>
      </c>
      <c r="AY90">
        <v>3</v>
      </c>
      <c r="AZ90">
        <v>4</v>
      </c>
      <c r="BA90">
        <f t="shared" si="7"/>
        <v>0</v>
      </c>
      <c r="BB90">
        <f t="shared" si="8"/>
        <v>0</v>
      </c>
      <c r="BC90">
        <f t="shared" si="9"/>
        <v>1</v>
      </c>
    </row>
    <row r="91" spans="1:55" x14ac:dyDescent="0.25">
      <c r="A91" s="2">
        <f t="shared" si="11"/>
        <v>90</v>
      </c>
      <c r="B91">
        <v>104</v>
      </c>
      <c r="C91" s="2">
        <v>1903</v>
      </c>
      <c r="D91" s="2">
        <v>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5</v>
      </c>
      <c r="Q91">
        <v>5</v>
      </c>
      <c r="R91">
        <v>5</v>
      </c>
      <c r="S91">
        <v>5</v>
      </c>
      <c r="T91">
        <v>5</v>
      </c>
      <c r="U91">
        <v>2</v>
      </c>
      <c r="V91">
        <v>2</v>
      </c>
      <c r="W91">
        <v>2</v>
      </c>
      <c r="X91">
        <v>1</v>
      </c>
      <c r="Y91">
        <v>2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2</v>
      </c>
      <c r="AF91">
        <v>3</v>
      </c>
      <c r="AG91">
        <v>3</v>
      </c>
      <c r="AH91">
        <v>3</v>
      </c>
      <c r="AI91">
        <v>2</v>
      </c>
      <c r="AJ91">
        <v>3</v>
      </c>
      <c r="AK91">
        <v>2</v>
      </c>
      <c r="AL91">
        <v>4</v>
      </c>
      <c r="AM91">
        <v>2</v>
      </c>
      <c r="AN91">
        <v>4</v>
      </c>
      <c r="AO91">
        <v>4</v>
      </c>
      <c r="AP91">
        <v>5</v>
      </c>
      <c r="AQ91">
        <v>4</v>
      </c>
      <c r="AR91">
        <v>4</v>
      </c>
      <c r="AS91">
        <v>2</v>
      </c>
      <c r="AT91">
        <v>4</v>
      </c>
      <c r="AU91">
        <v>2</v>
      </c>
      <c r="AV91">
        <v>4</v>
      </c>
      <c r="AW91">
        <v>3</v>
      </c>
      <c r="AX91">
        <v>4</v>
      </c>
      <c r="AY91">
        <v>4</v>
      </c>
      <c r="AZ91">
        <v>4</v>
      </c>
      <c r="BA91">
        <f t="shared" si="7"/>
        <v>0</v>
      </c>
      <c r="BB91">
        <f t="shared" si="8"/>
        <v>0</v>
      </c>
      <c r="BC91">
        <f t="shared" si="9"/>
        <v>1</v>
      </c>
    </row>
    <row r="92" spans="1:55" x14ac:dyDescent="0.25">
      <c r="A92" s="2">
        <f t="shared" si="11"/>
        <v>91</v>
      </c>
      <c r="B92">
        <v>107</v>
      </c>
      <c r="C92" s="2">
        <v>1925</v>
      </c>
      <c r="D92" s="2">
        <v>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5</v>
      </c>
      <c r="Q92">
        <v>4</v>
      </c>
      <c r="R92">
        <v>4</v>
      </c>
      <c r="S92">
        <v>5</v>
      </c>
      <c r="T92">
        <v>4</v>
      </c>
      <c r="U92">
        <v>4</v>
      </c>
      <c r="V92">
        <v>4</v>
      </c>
      <c r="W92">
        <v>3</v>
      </c>
      <c r="X92">
        <v>3</v>
      </c>
      <c r="Y92">
        <v>1</v>
      </c>
      <c r="Z92">
        <v>1</v>
      </c>
      <c r="AA92">
        <v>1</v>
      </c>
      <c r="AB92">
        <v>1</v>
      </c>
      <c r="AD92">
        <v>2</v>
      </c>
      <c r="AE92">
        <v>1</v>
      </c>
      <c r="AF92">
        <v>1</v>
      </c>
      <c r="AI92">
        <v>3</v>
      </c>
      <c r="AJ92">
        <v>3</v>
      </c>
      <c r="AK92">
        <v>3</v>
      </c>
      <c r="AL92">
        <v>3</v>
      </c>
      <c r="AM92">
        <v>3</v>
      </c>
      <c r="AN92">
        <v>4</v>
      </c>
      <c r="AO92">
        <v>2</v>
      </c>
      <c r="AP92">
        <v>4</v>
      </c>
      <c r="AQ92">
        <v>4</v>
      </c>
      <c r="AR92">
        <v>5</v>
      </c>
      <c r="AS92">
        <v>2</v>
      </c>
      <c r="AT92">
        <v>4</v>
      </c>
      <c r="AU92">
        <v>3</v>
      </c>
      <c r="AV92">
        <v>3</v>
      </c>
      <c r="AW92">
        <v>2</v>
      </c>
      <c r="AX92">
        <v>4</v>
      </c>
      <c r="AY92">
        <v>2</v>
      </c>
      <c r="AZ92">
        <v>4</v>
      </c>
      <c r="BA92">
        <f t="shared" si="7"/>
        <v>0</v>
      </c>
      <c r="BB92">
        <f t="shared" si="8"/>
        <v>0</v>
      </c>
      <c r="BC92">
        <f t="shared" si="9"/>
        <v>1</v>
      </c>
    </row>
    <row r="93" spans="1:55" x14ac:dyDescent="0.25">
      <c r="A93" s="2">
        <f t="shared" si="11"/>
        <v>92</v>
      </c>
      <c r="B93">
        <v>109</v>
      </c>
      <c r="C93" s="2">
        <v>1903</v>
      </c>
      <c r="D93" s="2">
        <v>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5</v>
      </c>
      <c r="Q93">
        <v>5</v>
      </c>
      <c r="R93">
        <v>5</v>
      </c>
      <c r="S93">
        <v>5</v>
      </c>
      <c r="T93">
        <v>5</v>
      </c>
      <c r="U93">
        <v>4</v>
      </c>
      <c r="V93">
        <v>3</v>
      </c>
      <c r="W93">
        <v>3</v>
      </c>
      <c r="X93">
        <v>3</v>
      </c>
      <c r="Y93">
        <v>2</v>
      </c>
      <c r="Z93">
        <v>4</v>
      </c>
      <c r="AE93">
        <v>3</v>
      </c>
      <c r="AF93">
        <v>3</v>
      </c>
      <c r="AI93">
        <v>7</v>
      </c>
      <c r="AJ93">
        <v>4</v>
      </c>
      <c r="AK93">
        <v>3</v>
      </c>
      <c r="AL93">
        <v>3</v>
      </c>
      <c r="AM93">
        <v>3</v>
      </c>
      <c r="AN93">
        <v>4</v>
      </c>
      <c r="AO93">
        <v>4</v>
      </c>
      <c r="AP93">
        <v>5</v>
      </c>
      <c r="AQ93">
        <v>5</v>
      </c>
      <c r="AR93">
        <v>5</v>
      </c>
      <c r="AS93">
        <v>2</v>
      </c>
      <c r="AT93">
        <v>5</v>
      </c>
      <c r="AU93">
        <v>1</v>
      </c>
      <c r="AV93">
        <v>4</v>
      </c>
      <c r="AW93">
        <v>3</v>
      </c>
      <c r="AX93">
        <v>4</v>
      </c>
      <c r="AY93">
        <v>4</v>
      </c>
      <c r="AZ93">
        <v>5</v>
      </c>
      <c r="BA93">
        <f t="shared" si="7"/>
        <v>0</v>
      </c>
      <c r="BB93">
        <f t="shared" si="8"/>
        <v>0</v>
      </c>
      <c r="BC93">
        <f t="shared" si="9"/>
        <v>1</v>
      </c>
    </row>
    <row r="94" spans="1:55" x14ac:dyDescent="0.25">
      <c r="A94" s="2">
        <f t="shared" si="11"/>
        <v>93</v>
      </c>
      <c r="B94">
        <v>113</v>
      </c>
      <c r="C94" s="2">
        <v>2030</v>
      </c>
      <c r="D94" s="2">
        <v>3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3</v>
      </c>
      <c r="Q94">
        <v>3</v>
      </c>
      <c r="R94">
        <v>3</v>
      </c>
      <c r="S94">
        <v>3</v>
      </c>
      <c r="T94">
        <v>3</v>
      </c>
      <c r="U94">
        <v>3</v>
      </c>
      <c r="V94">
        <v>2</v>
      </c>
      <c r="W94">
        <v>2</v>
      </c>
      <c r="X94">
        <v>2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7</v>
      </c>
      <c r="AI94">
        <v>3</v>
      </c>
      <c r="AJ94">
        <v>2</v>
      </c>
      <c r="AK94">
        <v>3</v>
      </c>
      <c r="AL94">
        <v>5</v>
      </c>
      <c r="AM94">
        <v>2</v>
      </c>
      <c r="AN94">
        <v>4</v>
      </c>
      <c r="AO94">
        <v>2</v>
      </c>
      <c r="AP94">
        <v>4</v>
      </c>
      <c r="AQ94">
        <v>5</v>
      </c>
      <c r="AR94">
        <v>5</v>
      </c>
      <c r="AS94">
        <v>1</v>
      </c>
      <c r="AT94">
        <v>4</v>
      </c>
      <c r="AU94">
        <v>2</v>
      </c>
      <c r="AV94">
        <v>4</v>
      </c>
      <c r="AW94">
        <v>2</v>
      </c>
      <c r="AX94">
        <v>5</v>
      </c>
      <c r="AY94">
        <v>4</v>
      </c>
      <c r="AZ94">
        <v>4</v>
      </c>
      <c r="BA94">
        <f t="shared" si="7"/>
        <v>0</v>
      </c>
      <c r="BB94">
        <f t="shared" si="8"/>
        <v>0</v>
      </c>
      <c r="BC94">
        <f t="shared" si="9"/>
        <v>1</v>
      </c>
    </row>
    <row r="95" spans="1:55" x14ac:dyDescent="0.25">
      <c r="A95" s="2">
        <f t="shared" si="11"/>
        <v>94</v>
      </c>
      <c r="B95">
        <v>114</v>
      </c>
      <c r="C95" s="2">
        <v>2020</v>
      </c>
      <c r="D95" s="2">
        <v>3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3</v>
      </c>
      <c r="Q95">
        <v>4</v>
      </c>
      <c r="R95">
        <v>3</v>
      </c>
      <c r="S95">
        <v>3</v>
      </c>
      <c r="T95">
        <v>4</v>
      </c>
      <c r="U95">
        <v>2</v>
      </c>
      <c r="V95">
        <v>1</v>
      </c>
      <c r="W95">
        <v>1</v>
      </c>
      <c r="X95">
        <v>1</v>
      </c>
      <c r="Y95">
        <v>3</v>
      </c>
      <c r="Z95">
        <v>3</v>
      </c>
      <c r="AB95">
        <v>3</v>
      </c>
      <c r="AD95">
        <v>4</v>
      </c>
      <c r="AE95">
        <v>3</v>
      </c>
      <c r="AF95">
        <v>3</v>
      </c>
      <c r="AG95">
        <v>3</v>
      </c>
      <c r="AH95">
        <v>3</v>
      </c>
      <c r="AI95">
        <v>2</v>
      </c>
      <c r="AJ95">
        <v>2</v>
      </c>
      <c r="AK95">
        <v>4</v>
      </c>
      <c r="AL95">
        <v>3</v>
      </c>
      <c r="AM95">
        <v>2</v>
      </c>
      <c r="AN95">
        <v>4</v>
      </c>
      <c r="AO95">
        <v>3</v>
      </c>
      <c r="AP95">
        <v>3</v>
      </c>
      <c r="AQ95">
        <v>4</v>
      </c>
      <c r="AR95">
        <v>4</v>
      </c>
      <c r="AS95">
        <v>3</v>
      </c>
      <c r="AT95">
        <v>4</v>
      </c>
      <c r="AU95">
        <v>4</v>
      </c>
      <c r="AV95">
        <v>4</v>
      </c>
      <c r="AW95">
        <v>2</v>
      </c>
      <c r="AX95">
        <v>4</v>
      </c>
      <c r="AY95">
        <v>4</v>
      </c>
      <c r="AZ95">
        <v>4</v>
      </c>
      <c r="BA95">
        <f t="shared" si="7"/>
        <v>0</v>
      </c>
      <c r="BB95">
        <f t="shared" si="8"/>
        <v>0</v>
      </c>
      <c r="BC95">
        <f t="shared" si="9"/>
        <v>1</v>
      </c>
    </row>
    <row r="96" spans="1:55" x14ac:dyDescent="0.25">
      <c r="A96" s="2">
        <f t="shared" si="11"/>
        <v>95</v>
      </c>
      <c r="B96">
        <v>116</v>
      </c>
      <c r="C96" s="2">
        <v>2020</v>
      </c>
      <c r="D96" s="2">
        <v>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4</v>
      </c>
      <c r="Q96">
        <v>4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3</v>
      </c>
      <c r="AH96">
        <v>4</v>
      </c>
      <c r="AI96">
        <v>3</v>
      </c>
      <c r="AJ96">
        <v>2</v>
      </c>
      <c r="AK96">
        <v>2</v>
      </c>
      <c r="AL96">
        <v>3</v>
      </c>
      <c r="AM96">
        <v>3</v>
      </c>
      <c r="AN96">
        <v>3</v>
      </c>
      <c r="AO96">
        <v>3</v>
      </c>
      <c r="AP96">
        <v>3</v>
      </c>
      <c r="AQ96">
        <v>3</v>
      </c>
      <c r="AR96">
        <v>3</v>
      </c>
      <c r="AS96">
        <v>3</v>
      </c>
      <c r="AT96">
        <v>3</v>
      </c>
      <c r="AU96">
        <v>3</v>
      </c>
      <c r="AV96">
        <v>3</v>
      </c>
      <c r="AW96">
        <v>3</v>
      </c>
      <c r="AX96">
        <v>3</v>
      </c>
      <c r="AY96">
        <v>3</v>
      </c>
      <c r="AZ96">
        <v>3</v>
      </c>
      <c r="BA96">
        <f t="shared" si="7"/>
        <v>0</v>
      </c>
      <c r="BB96">
        <f t="shared" si="8"/>
        <v>0</v>
      </c>
      <c r="BC96">
        <f t="shared" si="9"/>
        <v>1</v>
      </c>
    </row>
    <row r="97" spans="1:55" x14ac:dyDescent="0.25">
      <c r="A97" s="2">
        <f t="shared" si="11"/>
        <v>96</v>
      </c>
      <c r="B97">
        <v>120</v>
      </c>
      <c r="C97" s="2">
        <v>1902</v>
      </c>
      <c r="D97" s="2">
        <v>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5</v>
      </c>
      <c r="Q97">
        <v>4</v>
      </c>
      <c r="R97">
        <v>4</v>
      </c>
      <c r="S97">
        <v>4</v>
      </c>
      <c r="T97">
        <v>5</v>
      </c>
      <c r="U97">
        <v>3</v>
      </c>
      <c r="V97">
        <v>2</v>
      </c>
      <c r="W97">
        <v>1</v>
      </c>
      <c r="X97">
        <v>1</v>
      </c>
      <c r="Y97">
        <v>3</v>
      </c>
      <c r="Z97">
        <v>4</v>
      </c>
      <c r="AA97">
        <v>4</v>
      </c>
      <c r="AB97">
        <v>3</v>
      </c>
      <c r="AC97">
        <v>9999</v>
      </c>
      <c r="AD97">
        <v>3</v>
      </c>
      <c r="AE97">
        <v>3</v>
      </c>
      <c r="AF97">
        <v>3</v>
      </c>
      <c r="AG97">
        <v>9999</v>
      </c>
      <c r="AH97">
        <v>4</v>
      </c>
      <c r="AI97">
        <v>3</v>
      </c>
      <c r="AJ97">
        <v>4</v>
      </c>
      <c r="AK97">
        <v>3</v>
      </c>
      <c r="AL97">
        <v>4</v>
      </c>
      <c r="AM97">
        <v>2</v>
      </c>
      <c r="AN97">
        <v>4</v>
      </c>
      <c r="AO97">
        <v>4</v>
      </c>
      <c r="AP97">
        <v>4</v>
      </c>
      <c r="AQ97">
        <v>4</v>
      </c>
      <c r="AR97">
        <v>4</v>
      </c>
      <c r="AS97">
        <v>3</v>
      </c>
      <c r="AT97">
        <v>4</v>
      </c>
      <c r="AU97">
        <v>2</v>
      </c>
      <c r="AV97">
        <v>4</v>
      </c>
      <c r="AW97">
        <v>2</v>
      </c>
      <c r="AX97">
        <v>4</v>
      </c>
      <c r="AY97">
        <v>3</v>
      </c>
      <c r="AZ97">
        <v>3</v>
      </c>
      <c r="BA97">
        <f t="shared" si="7"/>
        <v>0</v>
      </c>
      <c r="BB97">
        <f t="shared" si="8"/>
        <v>0</v>
      </c>
      <c r="BC97">
        <f t="shared" si="9"/>
        <v>1</v>
      </c>
    </row>
    <row r="98" spans="1:55" x14ac:dyDescent="0.25">
      <c r="A98">
        <v>97</v>
      </c>
      <c r="B98">
        <v>121</v>
      </c>
      <c r="C98" s="2">
        <v>1902</v>
      </c>
      <c r="D98" s="2">
        <v>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0</v>
      </c>
      <c r="P98">
        <v>3</v>
      </c>
      <c r="Q98">
        <v>2</v>
      </c>
      <c r="R98">
        <v>3</v>
      </c>
      <c r="S98">
        <v>3</v>
      </c>
      <c r="T98">
        <v>2</v>
      </c>
      <c r="U98">
        <v>2</v>
      </c>
      <c r="V98">
        <v>2</v>
      </c>
      <c r="W98">
        <v>1</v>
      </c>
      <c r="X98">
        <v>1</v>
      </c>
      <c r="Y98">
        <v>2</v>
      </c>
      <c r="Z98">
        <v>2</v>
      </c>
      <c r="AA98">
        <v>9999</v>
      </c>
      <c r="AB98">
        <v>3</v>
      </c>
      <c r="AC98">
        <v>3</v>
      </c>
      <c r="AD98">
        <v>2</v>
      </c>
      <c r="AE98">
        <v>2</v>
      </c>
      <c r="AF98">
        <v>3</v>
      </c>
      <c r="AG98">
        <v>6</v>
      </c>
      <c r="AH98">
        <v>6</v>
      </c>
      <c r="AI98">
        <v>3</v>
      </c>
      <c r="AJ98">
        <v>4</v>
      </c>
      <c r="AK98">
        <v>4</v>
      </c>
      <c r="AL98">
        <v>5</v>
      </c>
      <c r="AM98">
        <v>1</v>
      </c>
      <c r="AN98">
        <v>4</v>
      </c>
      <c r="AO98">
        <v>4</v>
      </c>
      <c r="AP98">
        <v>5</v>
      </c>
      <c r="AQ98">
        <v>2</v>
      </c>
      <c r="AR98">
        <v>5</v>
      </c>
      <c r="AS98">
        <v>2</v>
      </c>
      <c r="AT98">
        <v>5</v>
      </c>
      <c r="AU98">
        <v>1</v>
      </c>
      <c r="AV98">
        <v>5</v>
      </c>
      <c r="AW98">
        <v>2</v>
      </c>
      <c r="AX98">
        <v>5</v>
      </c>
      <c r="AY98">
        <v>4</v>
      </c>
      <c r="AZ98">
        <v>4</v>
      </c>
      <c r="BA98">
        <f t="shared" si="7"/>
        <v>0</v>
      </c>
      <c r="BB98">
        <f t="shared" si="8"/>
        <v>0</v>
      </c>
      <c r="BC98">
        <f t="shared" si="9"/>
        <v>1</v>
      </c>
    </row>
    <row r="99" spans="1:55" x14ac:dyDescent="0.25">
      <c r="AG99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7CFE-C17E-48CC-BAE9-588A3A37B149}">
  <dimension ref="A1:Z167"/>
  <sheetViews>
    <sheetView workbookViewId="0">
      <selection activeCell="S98" sqref="S98"/>
    </sheetView>
  </sheetViews>
  <sheetFormatPr defaultRowHeight="15" x14ac:dyDescent="0.25"/>
  <cols>
    <col min="1" max="1" width="12" customWidth="1"/>
  </cols>
  <sheetData>
    <row r="1" spans="1:23" x14ac:dyDescent="0.25">
      <c r="S1" t="s">
        <v>96</v>
      </c>
    </row>
    <row r="2" spans="1:23" x14ac:dyDescent="0.25"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73</v>
      </c>
      <c r="H2" t="s">
        <v>81</v>
      </c>
      <c r="T2" t="s">
        <v>87</v>
      </c>
      <c r="U2" t="s">
        <v>93</v>
      </c>
      <c r="V2" t="s">
        <v>94</v>
      </c>
      <c r="W2" t="s">
        <v>95</v>
      </c>
    </row>
    <row r="3" spans="1:23" x14ac:dyDescent="0.25">
      <c r="A3" t="s">
        <v>75</v>
      </c>
      <c r="B3">
        <v>4</v>
      </c>
      <c r="C3">
        <v>13</v>
      </c>
      <c r="D3">
        <v>23</v>
      </c>
      <c r="E3">
        <v>30</v>
      </c>
      <c r="F3">
        <v>25</v>
      </c>
      <c r="G3">
        <v>3</v>
      </c>
      <c r="H3">
        <f>SUM(B3:G3)</f>
        <v>98</v>
      </c>
      <c r="S3" t="s">
        <v>88</v>
      </c>
      <c r="T3">
        <v>6</v>
      </c>
      <c r="U3">
        <v>11</v>
      </c>
      <c r="V3">
        <v>23</v>
      </c>
      <c r="W3">
        <v>37</v>
      </c>
    </row>
    <row r="4" spans="1:23" x14ac:dyDescent="0.25">
      <c r="A4" t="s">
        <v>82</v>
      </c>
      <c r="B4">
        <v>3</v>
      </c>
      <c r="C4">
        <v>11</v>
      </c>
      <c r="D4">
        <v>35</v>
      </c>
      <c r="E4">
        <v>27</v>
      </c>
      <c r="F4">
        <v>16</v>
      </c>
      <c r="G4">
        <v>7</v>
      </c>
      <c r="H4">
        <f t="shared" ref="H4:H7" si="0">SUM(B4:G4)</f>
        <v>99</v>
      </c>
      <c r="S4" t="s">
        <v>89</v>
      </c>
      <c r="T4">
        <v>22</v>
      </c>
      <c r="U4">
        <v>28</v>
      </c>
      <c r="V4">
        <v>34</v>
      </c>
      <c r="W4">
        <v>30</v>
      </c>
    </row>
    <row r="5" spans="1:23" x14ac:dyDescent="0.25">
      <c r="A5" t="s">
        <v>29</v>
      </c>
      <c r="B5">
        <v>1</v>
      </c>
      <c r="C5">
        <v>20</v>
      </c>
      <c r="D5">
        <v>40</v>
      </c>
      <c r="E5">
        <v>25</v>
      </c>
      <c r="F5">
        <v>10</v>
      </c>
      <c r="G5">
        <v>3</v>
      </c>
      <c r="H5">
        <f t="shared" si="0"/>
        <v>99</v>
      </c>
      <c r="S5" t="s">
        <v>90</v>
      </c>
      <c r="T5">
        <v>38</v>
      </c>
      <c r="U5">
        <v>36</v>
      </c>
      <c r="V5">
        <v>28</v>
      </c>
      <c r="W5">
        <v>22</v>
      </c>
    </row>
    <row r="6" spans="1:23" x14ac:dyDescent="0.25">
      <c r="A6" t="s">
        <v>14</v>
      </c>
      <c r="B6">
        <v>2</v>
      </c>
      <c r="C6">
        <v>13</v>
      </c>
      <c r="D6">
        <v>32</v>
      </c>
      <c r="E6">
        <v>35</v>
      </c>
      <c r="F6">
        <v>13</v>
      </c>
      <c r="G6">
        <v>4</v>
      </c>
      <c r="H6">
        <f t="shared" si="0"/>
        <v>99</v>
      </c>
      <c r="S6" t="s">
        <v>91</v>
      </c>
      <c r="T6">
        <v>31</v>
      </c>
      <c r="U6">
        <v>17</v>
      </c>
      <c r="V6">
        <v>11</v>
      </c>
      <c r="W6">
        <v>6</v>
      </c>
    </row>
    <row r="7" spans="1:23" x14ac:dyDescent="0.25">
      <c r="A7" t="s">
        <v>83</v>
      </c>
      <c r="B7">
        <v>5</v>
      </c>
      <c r="C7">
        <v>16</v>
      </c>
      <c r="D7">
        <v>25</v>
      </c>
      <c r="E7">
        <v>27</v>
      </c>
      <c r="F7">
        <v>23</v>
      </c>
      <c r="G7">
        <v>3</v>
      </c>
      <c r="H7">
        <f t="shared" si="0"/>
        <v>99</v>
      </c>
      <c r="S7" t="s">
        <v>92</v>
      </c>
      <c r="T7">
        <v>2</v>
      </c>
      <c r="U7">
        <v>7</v>
      </c>
      <c r="V7">
        <v>3</v>
      </c>
      <c r="W7">
        <v>4</v>
      </c>
    </row>
    <row r="8" spans="1:23" x14ac:dyDescent="0.25">
      <c r="T8">
        <f>SUM(T3:T7)</f>
        <v>99</v>
      </c>
      <c r="U8">
        <f t="shared" ref="U8:W8" si="1">SUM(U3:U7)</f>
        <v>99</v>
      </c>
      <c r="V8">
        <f t="shared" si="1"/>
        <v>99</v>
      </c>
      <c r="W8">
        <f t="shared" si="1"/>
        <v>99</v>
      </c>
    </row>
    <row r="9" spans="1:23" x14ac:dyDescent="0.25">
      <c r="B9" t="s">
        <v>75</v>
      </c>
      <c r="C9" t="s">
        <v>82</v>
      </c>
      <c r="D9" t="s">
        <v>86</v>
      </c>
      <c r="E9" t="s">
        <v>14</v>
      </c>
      <c r="F9" t="s">
        <v>83</v>
      </c>
      <c r="K9" t="s">
        <v>75</v>
      </c>
      <c r="L9" t="s">
        <v>82</v>
      </c>
      <c r="M9" t="s">
        <v>86</v>
      </c>
      <c r="N9" t="s">
        <v>14</v>
      </c>
      <c r="O9" t="s">
        <v>83</v>
      </c>
    </row>
    <row r="10" spans="1:23" x14ac:dyDescent="0.25">
      <c r="A10" t="s">
        <v>76</v>
      </c>
      <c r="B10">
        <v>4</v>
      </c>
      <c r="C10">
        <v>3</v>
      </c>
      <c r="D10">
        <v>1</v>
      </c>
      <c r="E10">
        <v>2</v>
      </c>
      <c r="F10">
        <v>5</v>
      </c>
      <c r="J10" t="s">
        <v>84</v>
      </c>
      <c r="K10">
        <v>17</v>
      </c>
      <c r="L10">
        <v>14</v>
      </c>
      <c r="M10">
        <v>21</v>
      </c>
      <c r="N10">
        <v>15</v>
      </c>
      <c r="O10">
        <v>21</v>
      </c>
    </row>
    <row r="11" spans="1:23" x14ac:dyDescent="0.25">
      <c r="A11" t="s">
        <v>77</v>
      </c>
      <c r="B11">
        <v>13</v>
      </c>
      <c r="C11">
        <v>11</v>
      </c>
      <c r="D11">
        <v>20</v>
      </c>
      <c r="E11">
        <v>13</v>
      </c>
      <c r="F11">
        <v>16</v>
      </c>
      <c r="J11" t="s">
        <v>78</v>
      </c>
      <c r="K11">
        <v>23</v>
      </c>
      <c r="L11">
        <v>35</v>
      </c>
      <c r="M11">
        <v>40</v>
      </c>
      <c r="N11">
        <v>32</v>
      </c>
      <c r="O11">
        <v>25</v>
      </c>
    </row>
    <row r="12" spans="1:23" x14ac:dyDescent="0.25">
      <c r="A12" t="s">
        <v>78</v>
      </c>
      <c r="B12">
        <v>23</v>
      </c>
      <c r="C12">
        <v>35</v>
      </c>
      <c r="D12">
        <v>40</v>
      </c>
      <c r="E12">
        <v>32</v>
      </c>
      <c r="F12">
        <v>25</v>
      </c>
      <c r="J12" t="s">
        <v>85</v>
      </c>
      <c r="K12">
        <v>55</v>
      </c>
      <c r="L12">
        <v>43</v>
      </c>
      <c r="M12">
        <v>35</v>
      </c>
      <c r="N12">
        <v>48</v>
      </c>
      <c r="O12">
        <v>50</v>
      </c>
    </row>
    <row r="13" spans="1:23" x14ac:dyDescent="0.25">
      <c r="A13" t="s">
        <v>79</v>
      </c>
      <c r="B13">
        <v>30</v>
      </c>
      <c r="C13">
        <v>27</v>
      </c>
      <c r="D13">
        <v>25</v>
      </c>
      <c r="E13">
        <v>35</v>
      </c>
      <c r="F13">
        <v>27</v>
      </c>
    </row>
    <row r="14" spans="1:23" x14ac:dyDescent="0.25">
      <c r="A14" t="s">
        <v>80</v>
      </c>
      <c r="B14">
        <v>25</v>
      </c>
      <c r="C14">
        <v>16</v>
      </c>
      <c r="D14">
        <v>10</v>
      </c>
      <c r="E14">
        <v>13</v>
      </c>
      <c r="F14">
        <v>23</v>
      </c>
    </row>
    <row r="15" spans="1:23" x14ac:dyDescent="0.25">
      <c r="A15" t="s">
        <v>73</v>
      </c>
      <c r="B15">
        <v>3</v>
      </c>
      <c r="C15">
        <v>7</v>
      </c>
      <c r="D15">
        <v>3</v>
      </c>
      <c r="E15">
        <v>4</v>
      </c>
      <c r="F15">
        <v>3</v>
      </c>
      <c r="J15" t="s">
        <v>73</v>
      </c>
      <c r="K15">
        <v>3</v>
      </c>
      <c r="L15">
        <v>7</v>
      </c>
      <c r="M15">
        <v>3</v>
      </c>
      <c r="N15">
        <v>4</v>
      </c>
      <c r="O15">
        <v>3</v>
      </c>
    </row>
    <row r="16" spans="1:23" x14ac:dyDescent="0.25">
      <c r="A16" t="s">
        <v>81</v>
      </c>
      <c r="B16">
        <f>SUM(B10:B15)</f>
        <v>98</v>
      </c>
      <c r="C16">
        <f t="shared" ref="C16:F16" si="2">SUM(C10:C15)</f>
        <v>99</v>
      </c>
      <c r="D16">
        <f t="shared" si="2"/>
        <v>99</v>
      </c>
      <c r="E16">
        <f t="shared" si="2"/>
        <v>99</v>
      </c>
      <c r="F16">
        <f t="shared" si="2"/>
        <v>99</v>
      </c>
    </row>
    <row r="29" spans="19:23" x14ac:dyDescent="0.25">
      <c r="S29" t="s">
        <v>97</v>
      </c>
    </row>
    <row r="30" spans="19:23" x14ac:dyDescent="0.25">
      <c r="T30" t="s">
        <v>87</v>
      </c>
      <c r="U30" t="s">
        <v>93</v>
      </c>
      <c r="V30" t="s">
        <v>94</v>
      </c>
      <c r="W30" t="s">
        <v>95</v>
      </c>
    </row>
    <row r="31" spans="19:23" x14ac:dyDescent="0.25">
      <c r="S31" t="s">
        <v>88</v>
      </c>
      <c r="T31">
        <v>2</v>
      </c>
      <c r="U31">
        <v>3</v>
      </c>
      <c r="V31">
        <v>5</v>
      </c>
      <c r="W31">
        <v>9</v>
      </c>
    </row>
    <row r="32" spans="19:23" x14ac:dyDescent="0.25">
      <c r="S32" t="s">
        <v>89</v>
      </c>
      <c r="T32">
        <v>2</v>
      </c>
      <c r="U32">
        <v>3</v>
      </c>
      <c r="V32">
        <v>8</v>
      </c>
      <c r="W32">
        <v>7</v>
      </c>
    </row>
    <row r="33" spans="1:23" x14ac:dyDescent="0.25">
      <c r="S33" t="s">
        <v>90</v>
      </c>
      <c r="T33">
        <v>8</v>
      </c>
      <c r="U33">
        <v>10</v>
      </c>
      <c r="V33">
        <v>5</v>
      </c>
      <c r="W33">
        <v>2</v>
      </c>
    </row>
    <row r="34" spans="1:23" x14ac:dyDescent="0.25">
      <c r="S34" t="s">
        <v>91</v>
      </c>
      <c r="T34">
        <v>6</v>
      </c>
      <c r="U34">
        <v>2</v>
      </c>
      <c r="V34">
        <v>0</v>
      </c>
      <c r="W34">
        <v>0</v>
      </c>
    </row>
    <row r="35" spans="1:23" x14ac:dyDescent="0.25">
      <c r="A35" t="s">
        <v>106</v>
      </c>
      <c r="S35" t="s">
        <v>92</v>
      </c>
      <c r="T35">
        <v>1</v>
      </c>
      <c r="U35">
        <v>1</v>
      </c>
      <c r="V35">
        <v>1</v>
      </c>
      <c r="W35">
        <v>1</v>
      </c>
    </row>
    <row r="36" spans="1:23" x14ac:dyDescent="0.25">
      <c r="B36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100</v>
      </c>
      <c r="H36" t="s">
        <v>101</v>
      </c>
      <c r="I36" t="s">
        <v>26</v>
      </c>
      <c r="S36" t="s">
        <v>109</v>
      </c>
      <c r="T36">
        <f>SUM(T31:T35)</f>
        <v>19</v>
      </c>
      <c r="U36">
        <f t="shared" ref="U36:W36" si="3">SUM(U31:U35)</f>
        <v>19</v>
      </c>
      <c r="V36">
        <f t="shared" si="3"/>
        <v>19</v>
      </c>
      <c r="W36">
        <f t="shared" si="3"/>
        <v>19</v>
      </c>
    </row>
    <row r="37" spans="1:23" x14ac:dyDescent="0.25">
      <c r="A37" t="s">
        <v>102</v>
      </c>
      <c r="B37">
        <v>20</v>
      </c>
      <c r="C37">
        <v>8</v>
      </c>
      <c r="D37">
        <v>7</v>
      </c>
      <c r="E37">
        <v>10</v>
      </c>
      <c r="F37">
        <v>5</v>
      </c>
      <c r="G37">
        <v>6</v>
      </c>
      <c r="H37">
        <v>17</v>
      </c>
      <c r="I37">
        <v>13</v>
      </c>
    </row>
    <row r="38" spans="1:23" x14ac:dyDescent="0.25">
      <c r="A38" t="s">
        <v>90</v>
      </c>
      <c r="B38">
        <v>32</v>
      </c>
      <c r="C38">
        <v>27</v>
      </c>
      <c r="D38">
        <v>17</v>
      </c>
      <c r="E38">
        <v>28</v>
      </c>
      <c r="F38">
        <v>17</v>
      </c>
      <c r="G38">
        <v>24</v>
      </c>
      <c r="H38">
        <v>34</v>
      </c>
      <c r="I38">
        <v>16</v>
      </c>
    </row>
    <row r="39" spans="1:23" x14ac:dyDescent="0.25">
      <c r="A39" t="s">
        <v>89</v>
      </c>
      <c r="B39">
        <v>30</v>
      </c>
      <c r="C39">
        <v>25</v>
      </c>
      <c r="D39">
        <v>27</v>
      </c>
      <c r="E39">
        <v>26</v>
      </c>
      <c r="F39">
        <v>22</v>
      </c>
      <c r="G39">
        <v>28</v>
      </c>
      <c r="H39">
        <v>29</v>
      </c>
      <c r="I39">
        <v>31</v>
      </c>
    </row>
    <row r="40" spans="1:23" x14ac:dyDescent="0.25">
      <c r="A40" t="s">
        <v>88</v>
      </c>
      <c r="B40">
        <v>9</v>
      </c>
      <c r="C40">
        <v>22</v>
      </c>
      <c r="D40">
        <v>24</v>
      </c>
      <c r="E40">
        <v>15</v>
      </c>
      <c r="F40">
        <v>20</v>
      </c>
      <c r="G40">
        <v>14</v>
      </c>
      <c r="H40">
        <v>5</v>
      </c>
      <c r="I40">
        <v>13</v>
      </c>
    </row>
    <row r="41" spans="1:23" x14ac:dyDescent="0.25">
      <c r="A41" t="s">
        <v>103</v>
      </c>
      <c r="B41">
        <v>2</v>
      </c>
      <c r="C41">
        <v>7</v>
      </c>
      <c r="D41">
        <v>6</v>
      </c>
      <c r="E41">
        <v>6</v>
      </c>
      <c r="F41">
        <v>11</v>
      </c>
      <c r="G41">
        <v>6</v>
      </c>
      <c r="H41">
        <v>2</v>
      </c>
      <c r="I41">
        <v>9</v>
      </c>
    </row>
    <row r="42" spans="1:23" x14ac:dyDescent="0.25">
      <c r="A42" t="s">
        <v>104</v>
      </c>
      <c r="B42">
        <v>0</v>
      </c>
      <c r="C42">
        <v>3</v>
      </c>
      <c r="D42">
        <v>7</v>
      </c>
      <c r="E42">
        <v>4</v>
      </c>
      <c r="F42">
        <v>5</v>
      </c>
      <c r="G42">
        <v>2</v>
      </c>
      <c r="H42">
        <v>0</v>
      </c>
      <c r="I42">
        <v>4</v>
      </c>
    </row>
    <row r="43" spans="1:23" x14ac:dyDescent="0.25">
      <c r="A43" t="s">
        <v>105</v>
      </c>
      <c r="B43">
        <v>1</v>
      </c>
      <c r="C43">
        <v>1</v>
      </c>
      <c r="D43">
        <v>0</v>
      </c>
      <c r="E43">
        <v>1</v>
      </c>
      <c r="F43">
        <v>0</v>
      </c>
      <c r="G43">
        <v>0</v>
      </c>
      <c r="H43">
        <v>3</v>
      </c>
      <c r="I43">
        <v>1</v>
      </c>
    </row>
    <row r="44" spans="1:23" x14ac:dyDescent="0.25">
      <c r="A44" t="s">
        <v>107</v>
      </c>
      <c r="B44">
        <v>5</v>
      </c>
      <c r="C44">
        <v>6</v>
      </c>
      <c r="D44">
        <v>11</v>
      </c>
      <c r="E44">
        <v>9</v>
      </c>
      <c r="F44">
        <v>19</v>
      </c>
      <c r="G44">
        <v>19</v>
      </c>
      <c r="H44">
        <v>9</v>
      </c>
      <c r="I44">
        <v>12</v>
      </c>
    </row>
    <row r="46" spans="1:23" x14ac:dyDescent="0.25">
      <c r="A46" t="s">
        <v>81</v>
      </c>
      <c r="B46">
        <f>SUM(B37:B45)</f>
        <v>99</v>
      </c>
      <c r="C46">
        <f t="shared" ref="C46:I46" si="4">SUM(C37:C45)</f>
        <v>99</v>
      </c>
      <c r="D46">
        <f t="shared" si="4"/>
        <v>99</v>
      </c>
      <c r="E46">
        <f t="shared" si="4"/>
        <v>99</v>
      </c>
      <c r="F46">
        <f t="shared" si="4"/>
        <v>99</v>
      </c>
      <c r="G46">
        <f t="shared" si="4"/>
        <v>99</v>
      </c>
      <c r="H46">
        <f t="shared" si="4"/>
        <v>99</v>
      </c>
      <c r="I46">
        <f t="shared" si="4"/>
        <v>99</v>
      </c>
    </row>
    <row r="53" spans="19:23" x14ac:dyDescent="0.25">
      <c r="S53" t="s">
        <v>98</v>
      </c>
    </row>
    <row r="54" spans="19:23" x14ac:dyDescent="0.25">
      <c r="T54" t="s">
        <v>87</v>
      </c>
      <c r="U54" t="s">
        <v>93</v>
      </c>
      <c r="V54" t="s">
        <v>94</v>
      </c>
      <c r="W54" t="s">
        <v>95</v>
      </c>
    </row>
    <row r="55" spans="19:23" x14ac:dyDescent="0.25">
      <c r="S55" t="s">
        <v>88</v>
      </c>
      <c r="T55">
        <v>4</v>
      </c>
      <c r="U55">
        <v>6</v>
      </c>
      <c r="V55">
        <v>11</v>
      </c>
      <c r="W55">
        <v>12</v>
      </c>
    </row>
    <row r="56" spans="19:23" x14ac:dyDescent="0.25">
      <c r="S56" t="s">
        <v>89</v>
      </c>
      <c r="T56">
        <v>4</v>
      </c>
      <c r="U56">
        <v>6</v>
      </c>
      <c r="V56">
        <v>4</v>
      </c>
      <c r="W56">
        <v>5</v>
      </c>
    </row>
    <row r="57" spans="19:23" x14ac:dyDescent="0.25">
      <c r="S57" t="s">
        <v>90</v>
      </c>
      <c r="T57">
        <v>8</v>
      </c>
      <c r="U57">
        <v>2</v>
      </c>
      <c r="V57">
        <v>3</v>
      </c>
      <c r="W57">
        <v>4</v>
      </c>
    </row>
    <row r="58" spans="19:23" x14ac:dyDescent="0.25">
      <c r="S58" t="s">
        <v>91</v>
      </c>
      <c r="T58">
        <v>7</v>
      </c>
      <c r="U58">
        <v>4</v>
      </c>
      <c r="V58">
        <v>4</v>
      </c>
      <c r="W58">
        <v>0</v>
      </c>
    </row>
    <row r="59" spans="19:23" x14ac:dyDescent="0.25">
      <c r="S59" t="s">
        <v>92</v>
      </c>
      <c r="T59">
        <v>1</v>
      </c>
      <c r="U59">
        <v>6</v>
      </c>
      <c r="V59">
        <v>2</v>
      </c>
      <c r="W59">
        <v>3</v>
      </c>
    </row>
    <row r="60" spans="19:23" x14ac:dyDescent="0.25">
      <c r="S60" t="s">
        <v>109</v>
      </c>
      <c r="T60">
        <f>SUM(T55:T59)</f>
        <v>24</v>
      </c>
      <c r="U60">
        <f t="shared" ref="U60:W60" si="5">SUM(U55:U59)</f>
        <v>24</v>
      </c>
      <c r="V60">
        <f t="shared" si="5"/>
        <v>24</v>
      </c>
      <c r="W60">
        <f t="shared" si="5"/>
        <v>24</v>
      </c>
    </row>
    <row r="61" spans="19:23" x14ac:dyDescent="0.25">
      <c r="S61" t="s">
        <v>99</v>
      </c>
    </row>
    <row r="62" spans="19:23" x14ac:dyDescent="0.25">
      <c r="T62" t="s">
        <v>87</v>
      </c>
      <c r="U62" t="s">
        <v>93</v>
      </c>
      <c r="V62" t="s">
        <v>94</v>
      </c>
      <c r="W62" t="s">
        <v>95</v>
      </c>
    </row>
    <row r="63" spans="19:23" x14ac:dyDescent="0.25">
      <c r="S63" t="s">
        <v>88</v>
      </c>
      <c r="T63">
        <v>0</v>
      </c>
      <c r="U63">
        <v>2</v>
      </c>
      <c r="V63">
        <v>7</v>
      </c>
      <c r="W63">
        <v>16</v>
      </c>
    </row>
    <row r="64" spans="19:23" x14ac:dyDescent="0.25">
      <c r="S64" t="s">
        <v>89</v>
      </c>
      <c r="T64">
        <v>16</v>
      </c>
      <c r="U64">
        <v>19</v>
      </c>
      <c r="V64">
        <v>22</v>
      </c>
      <c r="W64">
        <v>18</v>
      </c>
    </row>
    <row r="65" spans="1:26" x14ac:dyDescent="0.25">
      <c r="S65" t="s">
        <v>90</v>
      </c>
      <c r="T65">
        <v>22</v>
      </c>
      <c r="U65">
        <v>24</v>
      </c>
      <c r="V65">
        <v>20</v>
      </c>
      <c r="W65">
        <v>16</v>
      </c>
    </row>
    <row r="66" spans="1:26" x14ac:dyDescent="0.25">
      <c r="S66" t="s">
        <v>91</v>
      </c>
      <c r="T66">
        <v>18</v>
      </c>
      <c r="U66">
        <v>11</v>
      </c>
      <c r="V66">
        <v>7</v>
      </c>
      <c r="W66">
        <v>6</v>
      </c>
    </row>
    <row r="67" spans="1:26" x14ac:dyDescent="0.25">
      <c r="S67" t="s">
        <v>92</v>
      </c>
      <c r="T67">
        <v>0</v>
      </c>
      <c r="U67">
        <v>0</v>
      </c>
      <c r="V67">
        <v>0</v>
      </c>
      <c r="W67">
        <v>0</v>
      </c>
    </row>
    <row r="68" spans="1:26" x14ac:dyDescent="0.25">
      <c r="S68" t="s">
        <v>81</v>
      </c>
      <c r="T68">
        <f>SUM(T63:T67)</f>
        <v>56</v>
      </c>
      <c r="U68">
        <f t="shared" ref="U68:W68" si="6">SUM(U63:U67)</f>
        <v>56</v>
      </c>
      <c r="V68">
        <f t="shared" si="6"/>
        <v>56</v>
      </c>
      <c r="W68">
        <f t="shared" si="6"/>
        <v>56</v>
      </c>
    </row>
    <row r="70" spans="1:26" x14ac:dyDescent="0.25">
      <c r="A70" t="s">
        <v>108</v>
      </c>
    </row>
    <row r="71" spans="1:26" x14ac:dyDescent="0.25">
      <c r="B71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100</v>
      </c>
      <c r="H71" t="s">
        <v>101</v>
      </c>
      <c r="I71" t="s">
        <v>26</v>
      </c>
      <c r="U71" t="s">
        <v>106</v>
      </c>
    </row>
    <row r="72" spans="1:26" x14ac:dyDescent="0.25">
      <c r="A72" t="s">
        <v>102</v>
      </c>
      <c r="B72">
        <v>4</v>
      </c>
      <c r="C72">
        <v>0</v>
      </c>
      <c r="D72">
        <v>0</v>
      </c>
      <c r="E72">
        <v>0</v>
      </c>
      <c r="F72">
        <v>0</v>
      </c>
      <c r="G72">
        <v>0</v>
      </c>
      <c r="H72">
        <v>3</v>
      </c>
      <c r="I72">
        <v>2</v>
      </c>
      <c r="V72" t="s">
        <v>27</v>
      </c>
      <c r="W72" t="s">
        <v>28</v>
      </c>
      <c r="X72" t="s">
        <v>29</v>
      </c>
      <c r="Y72" t="s">
        <v>30</v>
      </c>
      <c r="Z72" t="s">
        <v>31</v>
      </c>
    </row>
    <row r="73" spans="1:26" x14ac:dyDescent="0.25">
      <c r="A73" t="s">
        <v>90</v>
      </c>
      <c r="B73">
        <v>7</v>
      </c>
      <c r="C73">
        <v>4</v>
      </c>
      <c r="D73">
        <v>0</v>
      </c>
      <c r="E73">
        <v>2</v>
      </c>
      <c r="F73">
        <v>2</v>
      </c>
      <c r="G73">
        <v>2</v>
      </c>
      <c r="H73">
        <v>8</v>
      </c>
      <c r="I73">
        <v>6</v>
      </c>
      <c r="U73" t="s">
        <v>102</v>
      </c>
      <c r="V73">
        <v>0</v>
      </c>
      <c r="W73">
        <v>1</v>
      </c>
      <c r="X73">
        <v>9</v>
      </c>
      <c r="Y73">
        <v>3</v>
      </c>
      <c r="Z73">
        <v>7</v>
      </c>
    </row>
    <row r="74" spans="1:26" x14ac:dyDescent="0.25">
      <c r="A74" t="s">
        <v>89</v>
      </c>
      <c r="B74">
        <v>6</v>
      </c>
      <c r="C74">
        <v>2</v>
      </c>
      <c r="D74">
        <v>6</v>
      </c>
      <c r="E74">
        <v>8</v>
      </c>
      <c r="F74">
        <v>2</v>
      </c>
      <c r="G74">
        <v>7</v>
      </c>
      <c r="H74">
        <v>4</v>
      </c>
      <c r="I74">
        <v>5</v>
      </c>
      <c r="U74" t="s">
        <v>90</v>
      </c>
      <c r="V74">
        <v>2</v>
      </c>
      <c r="W74">
        <v>11</v>
      </c>
      <c r="X74">
        <v>25</v>
      </c>
      <c r="Y74">
        <v>27</v>
      </c>
      <c r="Z74">
        <v>33</v>
      </c>
    </row>
    <row r="75" spans="1:26" x14ac:dyDescent="0.25">
      <c r="A75" t="s">
        <v>88</v>
      </c>
      <c r="B75">
        <v>1</v>
      </c>
      <c r="C75">
        <v>7</v>
      </c>
      <c r="D75">
        <v>6</v>
      </c>
      <c r="E75">
        <v>3</v>
      </c>
      <c r="F75">
        <v>8</v>
      </c>
      <c r="G75">
        <v>3</v>
      </c>
      <c r="H75">
        <v>0</v>
      </c>
      <c r="I75">
        <v>3</v>
      </c>
      <c r="U75" t="s">
        <v>89</v>
      </c>
      <c r="V75">
        <v>19</v>
      </c>
      <c r="W75">
        <v>19</v>
      </c>
      <c r="X75">
        <v>39</v>
      </c>
      <c r="Y75">
        <v>38</v>
      </c>
      <c r="Z75">
        <v>32</v>
      </c>
    </row>
    <row r="76" spans="1:26" x14ac:dyDescent="0.25">
      <c r="A76" t="s">
        <v>103</v>
      </c>
      <c r="B76">
        <v>0</v>
      </c>
      <c r="C76">
        <v>2</v>
      </c>
      <c r="D76">
        <v>2</v>
      </c>
      <c r="E76">
        <v>2</v>
      </c>
      <c r="F76">
        <v>2</v>
      </c>
      <c r="G76">
        <v>1</v>
      </c>
      <c r="H76">
        <v>0</v>
      </c>
      <c r="I76">
        <v>1</v>
      </c>
      <c r="U76" t="s">
        <v>88</v>
      </c>
      <c r="V76">
        <v>31</v>
      </c>
      <c r="W76">
        <v>25</v>
      </c>
      <c r="X76">
        <v>10</v>
      </c>
      <c r="Y76">
        <v>13</v>
      </c>
      <c r="Z76">
        <v>12</v>
      </c>
    </row>
    <row r="77" spans="1:26" x14ac:dyDescent="0.25">
      <c r="A77" t="s">
        <v>104</v>
      </c>
      <c r="B77">
        <v>0</v>
      </c>
      <c r="C77">
        <v>1</v>
      </c>
      <c r="D77">
        <v>3</v>
      </c>
      <c r="E77">
        <v>2</v>
      </c>
      <c r="F77">
        <v>2</v>
      </c>
      <c r="G77">
        <v>1</v>
      </c>
      <c r="H77">
        <v>0</v>
      </c>
      <c r="I77">
        <v>0</v>
      </c>
      <c r="U77" t="s">
        <v>103</v>
      </c>
      <c r="V77">
        <v>12</v>
      </c>
      <c r="W77">
        <v>8</v>
      </c>
      <c r="X77">
        <v>6</v>
      </c>
      <c r="Y77">
        <v>3</v>
      </c>
      <c r="Z77">
        <v>2</v>
      </c>
    </row>
    <row r="78" spans="1:26" x14ac:dyDescent="0.25">
      <c r="A78" t="s">
        <v>105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2</v>
      </c>
      <c r="I78">
        <v>0</v>
      </c>
      <c r="U78" t="s">
        <v>104</v>
      </c>
      <c r="V78">
        <v>6</v>
      </c>
      <c r="W78">
        <v>8</v>
      </c>
      <c r="X78">
        <v>2</v>
      </c>
      <c r="Y78">
        <v>4</v>
      </c>
      <c r="Z78">
        <v>2</v>
      </c>
    </row>
    <row r="79" spans="1:26" x14ac:dyDescent="0.25">
      <c r="A79" t="s">
        <v>107</v>
      </c>
      <c r="B79">
        <v>1</v>
      </c>
      <c r="C79">
        <v>2</v>
      </c>
      <c r="D79">
        <v>2</v>
      </c>
      <c r="E79">
        <v>2</v>
      </c>
      <c r="F79">
        <v>3</v>
      </c>
      <c r="G79">
        <v>5</v>
      </c>
      <c r="H79">
        <v>2</v>
      </c>
      <c r="I79">
        <v>2</v>
      </c>
      <c r="U79" t="s">
        <v>105</v>
      </c>
      <c r="V79">
        <v>4</v>
      </c>
      <c r="W79">
        <v>5</v>
      </c>
      <c r="X79">
        <v>2</v>
      </c>
      <c r="Y79">
        <v>0</v>
      </c>
      <c r="Z79">
        <v>2</v>
      </c>
    </row>
    <row r="80" spans="1:26" x14ac:dyDescent="0.25">
      <c r="U80" t="s">
        <v>107</v>
      </c>
      <c r="V80">
        <v>25</v>
      </c>
      <c r="W80">
        <v>22</v>
      </c>
      <c r="X80">
        <v>6</v>
      </c>
      <c r="Y80">
        <v>11</v>
      </c>
      <c r="Z80">
        <v>9</v>
      </c>
    </row>
    <row r="81" spans="1:26" x14ac:dyDescent="0.25">
      <c r="A81" t="s">
        <v>81</v>
      </c>
      <c r="B81">
        <f>SUM(B72:B80)</f>
        <v>19</v>
      </c>
      <c r="C81">
        <f t="shared" ref="C81" si="7">SUM(C72:C80)</f>
        <v>19</v>
      </c>
      <c r="D81">
        <f t="shared" ref="D81" si="8">SUM(D72:D80)</f>
        <v>19</v>
      </c>
      <c r="E81">
        <f t="shared" ref="E81" si="9">SUM(E72:E80)</f>
        <v>19</v>
      </c>
      <c r="F81">
        <f t="shared" ref="F81" si="10">SUM(F72:F80)</f>
        <v>19</v>
      </c>
      <c r="G81">
        <f t="shared" ref="G81" si="11">SUM(G72:G80)</f>
        <v>19</v>
      </c>
      <c r="H81">
        <f t="shared" ref="H81" si="12">SUM(H72:H80)</f>
        <v>19</v>
      </c>
      <c r="I81">
        <f t="shared" ref="I81" si="13">SUM(I72:I80)</f>
        <v>19</v>
      </c>
    </row>
    <row r="82" spans="1:26" x14ac:dyDescent="0.25">
      <c r="U82" t="s">
        <v>81</v>
      </c>
      <c r="V82">
        <f>SUM(V73:V81)</f>
        <v>99</v>
      </c>
      <c r="W82">
        <f t="shared" ref="W82:Z82" si="14">SUM(W73:W81)</f>
        <v>99</v>
      </c>
      <c r="X82">
        <f t="shared" si="14"/>
        <v>99</v>
      </c>
      <c r="Y82">
        <f t="shared" si="14"/>
        <v>99</v>
      </c>
      <c r="Z82">
        <f t="shared" si="14"/>
        <v>99</v>
      </c>
    </row>
    <row r="83" spans="1:26" x14ac:dyDescent="0.25">
      <c r="A83" t="s">
        <v>110</v>
      </c>
    </row>
    <row r="84" spans="1:26" x14ac:dyDescent="0.25">
      <c r="B84" t="s">
        <v>19</v>
      </c>
      <c r="C84" t="s">
        <v>20</v>
      </c>
      <c r="D84" t="s">
        <v>21</v>
      </c>
      <c r="E84" t="s">
        <v>22</v>
      </c>
      <c r="F84" t="s">
        <v>23</v>
      </c>
      <c r="G84" t="s">
        <v>100</v>
      </c>
      <c r="H84" t="s">
        <v>101</v>
      </c>
      <c r="I84" t="s">
        <v>26</v>
      </c>
    </row>
    <row r="85" spans="1:26" x14ac:dyDescent="0.25">
      <c r="A85" t="s">
        <v>102</v>
      </c>
      <c r="B85">
        <v>5</v>
      </c>
      <c r="C85">
        <v>1</v>
      </c>
      <c r="D85">
        <v>0</v>
      </c>
      <c r="E85">
        <v>2</v>
      </c>
      <c r="F85">
        <v>1</v>
      </c>
      <c r="G85">
        <v>0</v>
      </c>
      <c r="H85">
        <v>4</v>
      </c>
      <c r="I85">
        <v>1</v>
      </c>
    </row>
    <row r="86" spans="1:26" x14ac:dyDescent="0.25">
      <c r="A86" t="s">
        <v>90</v>
      </c>
      <c r="B86">
        <v>4</v>
      </c>
      <c r="C86">
        <v>7</v>
      </c>
      <c r="D86">
        <v>5</v>
      </c>
      <c r="E86">
        <v>9</v>
      </c>
      <c r="F86">
        <v>5</v>
      </c>
      <c r="G86">
        <v>7</v>
      </c>
      <c r="H86">
        <v>8</v>
      </c>
      <c r="I86">
        <v>2</v>
      </c>
    </row>
    <row r="87" spans="1:26" x14ac:dyDescent="0.25">
      <c r="A87" t="s">
        <v>89</v>
      </c>
      <c r="B87">
        <v>11</v>
      </c>
      <c r="C87">
        <v>6</v>
      </c>
      <c r="D87">
        <v>7</v>
      </c>
      <c r="E87">
        <v>4</v>
      </c>
      <c r="F87">
        <v>7</v>
      </c>
      <c r="G87">
        <v>10</v>
      </c>
      <c r="H87">
        <v>9</v>
      </c>
      <c r="I87">
        <v>9</v>
      </c>
    </row>
    <row r="88" spans="1:26" x14ac:dyDescent="0.25">
      <c r="A88" t="s">
        <v>88</v>
      </c>
      <c r="B88">
        <v>2</v>
      </c>
      <c r="C88">
        <v>4</v>
      </c>
      <c r="D88">
        <v>6</v>
      </c>
      <c r="E88">
        <v>4</v>
      </c>
      <c r="F88">
        <v>3</v>
      </c>
      <c r="G88">
        <v>3</v>
      </c>
      <c r="H88">
        <v>1</v>
      </c>
      <c r="I88">
        <v>3</v>
      </c>
    </row>
    <row r="89" spans="1:26" x14ac:dyDescent="0.25">
      <c r="A89" t="s">
        <v>103</v>
      </c>
      <c r="B89">
        <v>1</v>
      </c>
      <c r="C89">
        <v>3</v>
      </c>
      <c r="D89">
        <v>2</v>
      </c>
      <c r="E89">
        <v>2</v>
      </c>
      <c r="F89">
        <v>3</v>
      </c>
      <c r="G89">
        <v>2</v>
      </c>
      <c r="H89">
        <v>1</v>
      </c>
      <c r="I89">
        <v>3</v>
      </c>
    </row>
    <row r="90" spans="1:26" x14ac:dyDescent="0.25">
      <c r="A90" t="s">
        <v>104</v>
      </c>
      <c r="B90">
        <v>0</v>
      </c>
      <c r="C90">
        <v>2</v>
      </c>
      <c r="D90">
        <v>3</v>
      </c>
      <c r="E90">
        <v>2</v>
      </c>
      <c r="F90">
        <v>3</v>
      </c>
      <c r="G90">
        <v>1</v>
      </c>
      <c r="H90">
        <v>0</v>
      </c>
      <c r="I90">
        <v>2</v>
      </c>
    </row>
    <row r="91" spans="1:26" x14ac:dyDescent="0.25">
      <c r="A91" t="s">
        <v>105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</row>
    <row r="92" spans="1:26" x14ac:dyDescent="0.25">
      <c r="A92" t="s">
        <v>107</v>
      </c>
      <c r="B92">
        <v>1</v>
      </c>
      <c r="C92">
        <v>1</v>
      </c>
      <c r="D92">
        <v>1</v>
      </c>
      <c r="E92">
        <v>1</v>
      </c>
      <c r="F92">
        <v>2</v>
      </c>
      <c r="G92">
        <v>1</v>
      </c>
      <c r="H92">
        <v>1</v>
      </c>
      <c r="I92">
        <v>3</v>
      </c>
    </row>
    <row r="94" spans="1:26" x14ac:dyDescent="0.25">
      <c r="A94" t="s">
        <v>81</v>
      </c>
      <c r="B94">
        <f>SUM(B85:B93)</f>
        <v>24</v>
      </c>
      <c r="C94">
        <f t="shared" ref="C94" si="15">SUM(C85:C93)</f>
        <v>24</v>
      </c>
      <c r="D94">
        <f t="shared" ref="D94" si="16">SUM(D85:D93)</f>
        <v>24</v>
      </c>
      <c r="E94">
        <f t="shared" ref="E94" si="17">SUM(E85:E93)</f>
        <v>24</v>
      </c>
      <c r="F94">
        <f t="shared" ref="F94" si="18">SUM(F85:F93)</f>
        <v>24</v>
      </c>
      <c r="G94">
        <f t="shared" ref="G94" si="19">SUM(G85:G93)</f>
        <v>24</v>
      </c>
      <c r="H94">
        <f t="shared" ref="H94" si="20">SUM(H85:H93)</f>
        <v>24</v>
      </c>
      <c r="I94">
        <f t="shared" ref="I94" si="21">SUM(I85:I93)</f>
        <v>24</v>
      </c>
    </row>
    <row r="100" spans="1:26" x14ac:dyDescent="0.25">
      <c r="A100" t="s">
        <v>111</v>
      </c>
    </row>
    <row r="101" spans="1:26" x14ac:dyDescent="0.25">
      <c r="B101" t="s">
        <v>19</v>
      </c>
      <c r="C101" t="s">
        <v>20</v>
      </c>
      <c r="D101" t="s">
        <v>21</v>
      </c>
      <c r="E101" t="s">
        <v>22</v>
      </c>
      <c r="F101" t="s">
        <v>23</v>
      </c>
      <c r="G101" t="s">
        <v>100</v>
      </c>
      <c r="H101" t="s">
        <v>101</v>
      </c>
      <c r="I101" t="s">
        <v>26</v>
      </c>
    </row>
    <row r="102" spans="1:26" x14ac:dyDescent="0.25">
      <c r="A102" t="s">
        <v>102</v>
      </c>
      <c r="B102">
        <v>11</v>
      </c>
      <c r="C102">
        <v>7</v>
      </c>
      <c r="D102">
        <v>7</v>
      </c>
      <c r="E102">
        <v>8</v>
      </c>
      <c r="F102">
        <v>4</v>
      </c>
      <c r="G102">
        <v>6</v>
      </c>
      <c r="H102">
        <v>10</v>
      </c>
      <c r="I102">
        <v>10</v>
      </c>
      <c r="U102" t="s">
        <v>108</v>
      </c>
    </row>
    <row r="103" spans="1:26" x14ac:dyDescent="0.25">
      <c r="A103" t="s">
        <v>90</v>
      </c>
      <c r="B103">
        <v>21</v>
      </c>
      <c r="C103">
        <v>16</v>
      </c>
      <c r="D103">
        <v>12</v>
      </c>
      <c r="E103">
        <v>17</v>
      </c>
      <c r="F103">
        <v>10</v>
      </c>
      <c r="G103">
        <v>15</v>
      </c>
      <c r="H103">
        <v>18</v>
      </c>
      <c r="I103">
        <v>8</v>
      </c>
      <c r="V103" t="s">
        <v>27</v>
      </c>
      <c r="W103" t="s">
        <v>28</v>
      </c>
      <c r="X103" t="s">
        <v>29</v>
      </c>
      <c r="Y103" t="s">
        <v>30</v>
      </c>
      <c r="Z103" t="s">
        <v>31</v>
      </c>
    </row>
    <row r="104" spans="1:26" x14ac:dyDescent="0.25">
      <c r="A104" t="s">
        <v>89</v>
      </c>
      <c r="B104">
        <v>13</v>
      </c>
      <c r="C104">
        <v>17</v>
      </c>
      <c r="D104">
        <v>14</v>
      </c>
      <c r="E104">
        <v>14</v>
      </c>
      <c r="F104">
        <v>13</v>
      </c>
      <c r="G104">
        <v>11</v>
      </c>
      <c r="H104">
        <v>16</v>
      </c>
      <c r="I104">
        <v>17</v>
      </c>
      <c r="U104" t="s">
        <v>102</v>
      </c>
      <c r="V104">
        <v>0</v>
      </c>
      <c r="W104">
        <v>0</v>
      </c>
      <c r="X104">
        <v>1</v>
      </c>
      <c r="Y104">
        <v>0</v>
      </c>
      <c r="Z104">
        <v>1</v>
      </c>
    </row>
    <row r="105" spans="1:26" x14ac:dyDescent="0.25">
      <c r="A105" t="s">
        <v>88</v>
      </c>
      <c r="B105">
        <v>6</v>
      </c>
      <c r="C105">
        <v>11</v>
      </c>
      <c r="D105">
        <v>12</v>
      </c>
      <c r="E105">
        <v>8</v>
      </c>
      <c r="F105">
        <v>9</v>
      </c>
      <c r="G105">
        <v>8</v>
      </c>
      <c r="H105">
        <v>4</v>
      </c>
      <c r="I105">
        <v>7</v>
      </c>
      <c r="U105" t="s">
        <v>90</v>
      </c>
      <c r="V105">
        <v>0</v>
      </c>
      <c r="W105">
        <v>6</v>
      </c>
      <c r="X105">
        <v>6</v>
      </c>
      <c r="Y105">
        <v>4</v>
      </c>
      <c r="Z105">
        <v>8</v>
      </c>
    </row>
    <row r="106" spans="1:26" x14ac:dyDescent="0.25">
      <c r="A106" t="s">
        <v>103</v>
      </c>
      <c r="B106">
        <v>1</v>
      </c>
      <c r="C106">
        <v>2</v>
      </c>
      <c r="D106">
        <v>2</v>
      </c>
      <c r="E106">
        <v>2</v>
      </c>
      <c r="F106">
        <v>6</v>
      </c>
      <c r="G106">
        <v>3</v>
      </c>
      <c r="H106">
        <v>1</v>
      </c>
      <c r="I106">
        <v>5</v>
      </c>
      <c r="U106" t="s">
        <v>89</v>
      </c>
      <c r="V106">
        <v>2</v>
      </c>
      <c r="W106">
        <v>6</v>
      </c>
      <c r="X106">
        <v>10</v>
      </c>
      <c r="Y106">
        <v>12</v>
      </c>
      <c r="Z106">
        <v>9</v>
      </c>
    </row>
    <row r="107" spans="1:26" x14ac:dyDescent="0.25">
      <c r="A107" t="s">
        <v>104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2</v>
      </c>
      <c r="U107" t="s">
        <v>88</v>
      </c>
      <c r="V107">
        <v>5</v>
      </c>
      <c r="W107">
        <v>2</v>
      </c>
      <c r="X107">
        <v>1</v>
      </c>
      <c r="Y107">
        <v>2</v>
      </c>
      <c r="Z107">
        <v>0</v>
      </c>
    </row>
    <row r="108" spans="1:26" x14ac:dyDescent="0.25">
      <c r="A108" t="s">
        <v>105</v>
      </c>
      <c r="B108">
        <v>1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1</v>
      </c>
      <c r="I108">
        <v>0</v>
      </c>
      <c r="U108" t="s">
        <v>103</v>
      </c>
      <c r="V108">
        <v>4</v>
      </c>
      <c r="W108">
        <v>1</v>
      </c>
      <c r="X108">
        <v>0</v>
      </c>
      <c r="Y108">
        <v>0</v>
      </c>
      <c r="Z108">
        <v>0</v>
      </c>
    </row>
    <row r="109" spans="1:26" x14ac:dyDescent="0.25">
      <c r="A109" t="s">
        <v>107</v>
      </c>
      <c r="B109">
        <v>3</v>
      </c>
      <c r="C109">
        <v>3</v>
      </c>
      <c r="D109">
        <v>8</v>
      </c>
      <c r="E109">
        <v>6</v>
      </c>
      <c r="F109">
        <v>14</v>
      </c>
      <c r="G109">
        <v>13</v>
      </c>
      <c r="H109">
        <v>6</v>
      </c>
      <c r="I109">
        <v>7</v>
      </c>
      <c r="U109" t="s">
        <v>104</v>
      </c>
      <c r="V109">
        <v>2</v>
      </c>
      <c r="W109">
        <v>2</v>
      </c>
      <c r="X109">
        <v>0</v>
      </c>
      <c r="Y109">
        <v>0</v>
      </c>
      <c r="Z109">
        <v>0</v>
      </c>
    </row>
    <row r="110" spans="1:26" x14ac:dyDescent="0.25">
      <c r="U110" t="s">
        <v>105</v>
      </c>
      <c r="V110">
        <v>0</v>
      </c>
      <c r="W110">
        <v>0</v>
      </c>
      <c r="X110">
        <v>0</v>
      </c>
      <c r="Y110">
        <v>1</v>
      </c>
      <c r="Z110">
        <v>0</v>
      </c>
    </row>
    <row r="111" spans="1:26" x14ac:dyDescent="0.25">
      <c r="A111" t="s">
        <v>81</v>
      </c>
      <c r="B111">
        <f>SUM(B102:B110)</f>
        <v>56</v>
      </c>
      <c r="C111">
        <f t="shared" ref="C111" si="22">SUM(C102:C110)</f>
        <v>56</v>
      </c>
      <c r="D111">
        <f t="shared" ref="D111" si="23">SUM(D102:D110)</f>
        <v>56</v>
      </c>
      <c r="E111">
        <f t="shared" ref="E111" si="24">SUM(E102:E110)</f>
        <v>56</v>
      </c>
      <c r="F111">
        <f t="shared" ref="F111" si="25">SUM(F102:F110)</f>
        <v>56</v>
      </c>
      <c r="G111">
        <f t="shared" ref="G111" si="26">SUM(G102:G110)</f>
        <v>56</v>
      </c>
      <c r="H111">
        <f t="shared" ref="H111" si="27">SUM(H102:H110)</f>
        <v>56</v>
      </c>
      <c r="I111">
        <f t="shared" ref="I111" si="28">SUM(I102:I110)</f>
        <v>56</v>
      </c>
      <c r="U111" t="s">
        <v>107</v>
      </c>
      <c r="V111">
        <v>6</v>
      </c>
      <c r="W111">
        <v>2</v>
      </c>
      <c r="X111">
        <v>1</v>
      </c>
      <c r="Y111">
        <v>0</v>
      </c>
      <c r="Z111">
        <v>1</v>
      </c>
    </row>
    <row r="113" spans="2:26" x14ac:dyDescent="0.25">
      <c r="U113" t="s">
        <v>81</v>
      </c>
      <c r="V113">
        <f>SUM(V105:V112)</f>
        <v>19</v>
      </c>
      <c r="W113">
        <f t="shared" ref="W113" si="29">SUM(W104:W112)</f>
        <v>19</v>
      </c>
      <c r="X113">
        <f t="shared" ref="X113" si="30">SUM(X104:X112)</f>
        <v>19</v>
      </c>
      <c r="Y113">
        <f t="shared" ref="Y113" si="31">SUM(Y104:Y112)</f>
        <v>19</v>
      </c>
      <c r="Z113">
        <f t="shared" ref="Z113" si="32">SUM(Z104:Z112)</f>
        <v>19</v>
      </c>
    </row>
    <row r="114" spans="2:26" x14ac:dyDescent="0.25">
      <c r="B114">
        <f>B72/$B$81</f>
        <v>0.21052631578947367</v>
      </c>
      <c r="C114">
        <f t="shared" ref="C114:I114" si="33">C72/$B$81</f>
        <v>0</v>
      </c>
      <c r="D114">
        <f t="shared" si="33"/>
        <v>0</v>
      </c>
      <c r="E114">
        <f t="shared" si="33"/>
        <v>0</v>
      </c>
      <c r="F114">
        <f t="shared" si="33"/>
        <v>0</v>
      </c>
      <c r="G114">
        <f t="shared" si="33"/>
        <v>0</v>
      </c>
      <c r="H114">
        <f t="shared" si="33"/>
        <v>0.15789473684210525</v>
      </c>
      <c r="I114">
        <f t="shared" si="33"/>
        <v>0.10526315789473684</v>
      </c>
    </row>
    <row r="115" spans="2:26" x14ac:dyDescent="0.25">
      <c r="B115">
        <f t="shared" ref="B115:I121" si="34">B73/$B$81</f>
        <v>0.36842105263157893</v>
      </c>
      <c r="C115">
        <f t="shared" si="34"/>
        <v>0.21052631578947367</v>
      </c>
      <c r="D115">
        <f t="shared" si="34"/>
        <v>0</v>
      </c>
      <c r="E115">
        <f t="shared" si="34"/>
        <v>0.10526315789473684</v>
      </c>
      <c r="F115">
        <f t="shared" si="34"/>
        <v>0.10526315789473684</v>
      </c>
      <c r="G115">
        <f t="shared" si="34"/>
        <v>0.10526315789473684</v>
      </c>
      <c r="H115">
        <f t="shared" si="34"/>
        <v>0.42105263157894735</v>
      </c>
      <c r="I115">
        <f t="shared" si="34"/>
        <v>0.31578947368421051</v>
      </c>
    </row>
    <row r="116" spans="2:26" x14ac:dyDescent="0.25">
      <c r="B116">
        <f t="shared" si="34"/>
        <v>0.31578947368421051</v>
      </c>
      <c r="C116">
        <f t="shared" si="34"/>
        <v>0.10526315789473684</v>
      </c>
      <c r="D116">
        <f t="shared" si="34"/>
        <v>0.31578947368421051</v>
      </c>
      <c r="E116">
        <f t="shared" si="34"/>
        <v>0.42105263157894735</v>
      </c>
      <c r="F116">
        <f t="shared" si="34"/>
        <v>0.10526315789473684</v>
      </c>
      <c r="G116">
        <f t="shared" si="34"/>
        <v>0.36842105263157893</v>
      </c>
      <c r="H116">
        <f t="shared" si="34"/>
        <v>0.21052631578947367</v>
      </c>
      <c r="I116">
        <f t="shared" si="34"/>
        <v>0.26315789473684209</v>
      </c>
    </row>
    <row r="117" spans="2:26" x14ac:dyDescent="0.25">
      <c r="B117">
        <f t="shared" si="34"/>
        <v>5.2631578947368418E-2</v>
      </c>
      <c r="C117">
        <f t="shared" si="34"/>
        <v>0.36842105263157893</v>
      </c>
      <c r="D117">
        <f t="shared" si="34"/>
        <v>0.31578947368421051</v>
      </c>
      <c r="E117">
        <f t="shared" si="34"/>
        <v>0.15789473684210525</v>
      </c>
      <c r="F117">
        <f t="shared" si="34"/>
        <v>0.42105263157894735</v>
      </c>
      <c r="G117">
        <f t="shared" si="34"/>
        <v>0.15789473684210525</v>
      </c>
      <c r="H117">
        <f t="shared" si="34"/>
        <v>0</v>
      </c>
      <c r="I117">
        <f t="shared" si="34"/>
        <v>0.15789473684210525</v>
      </c>
    </row>
    <row r="118" spans="2:26" x14ac:dyDescent="0.25">
      <c r="B118">
        <f t="shared" si="34"/>
        <v>0</v>
      </c>
      <c r="C118">
        <f t="shared" si="34"/>
        <v>0.10526315789473684</v>
      </c>
      <c r="D118">
        <f t="shared" si="34"/>
        <v>0.10526315789473684</v>
      </c>
      <c r="E118">
        <f t="shared" si="34"/>
        <v>0.10526315789473684</v>
      </c>
      <c r="F118">
        <f t="shared" si="34"/>
        <v>0.10526315789473684</v>
      </c>
      <c r="G118">
        <f t="shared" si="34"/>
        <v>5.2631578947368418E-2</v>
      </c>
      <c r="H118">
        <f t="shared" si="34"/>
        <v>0</v>
      </c>
      <c r="I118">
        <f t="shared" si="34"/>
        <v>5.2631578947368418E-2</v>
      </c>
    </row>
    <row r="119" spans="2:26" x14ac:dyDescent="0.25">
      <c r="B119">
        <f t="shared" si="34"/>
        <v>0</v>
      </c>
      <c r="C119">
        <f t="shared" si="34"/>
        <v>5.2631578947368418E-2</v>
      </c>
      <c r="D119">
        <f t="shared" si="34"/>
        <v>0.15789473684210525</v>
      </c>
      <c r="E119">
        <f t="shared" si="34"/>
        <v>0.10526315789473684</v>
      </c>
      <c r="F119">
        <f t="shared" si="34"/>
        <v>0.10526315789473684</v>
      </c>
      <c r="G119">
        <f t="shared" si="34"/>
        <v>5.2631578947368418E-2</v>
      </c>
      <c r="H119">
        <f t="shared" si="34"/>
        <v>0</v>
      </c>
      <c r="I119">
        <f t="shared" si="34"/>
        <v>0</v>
      </c>
    </row>
    <row r="120" spans="2:26" x14ac:dyDescent="0.25">
      <c r="B120">
        <f t="shared" si="34"/>
        <v>0</v>
      </c>
      <c r="C120">
        <f t="shared" si="34"/>
        <v>5.2631578947368418E-2</v>
      </c>
      <c r="D120">
        <f t="shared" si="34"/>
        <v>0</v>
      </c>
      <c r="E120">
        <f t="shared" si="34"/>
        <v>0</v>
      </c>
      <c r="F120">
        <f t="shared" si="34"/>
        <v>0</v>
      </c>
      <c r="G120">
        <f t="shared" si="34"/>
        <v>0</v>
      </c>
      <c r="H120">
        <f t="shared" si="34"/>
        <v>0.10526315789473684</v>
      </c>
      <c r="I120">
        <f t="shared" si="34"/>
        <v>0</v>
      </c>
    </row>
    <row r="121" spans="2:26" x14ac:dyDescent="0.25">
      <c r="B121">
        <f t="shared" si="34"/>
        <v>5.2631578947368418E-2</v>
      </c>
      <c r="C121">
        <f t="shared" si="34"/>
        <v>0.10526315789473684</v>
      </c>
      <c r="D121">
        <f t="shared" si="34"/>
        <v>0.10526315789473684</v>
      </c>
      <c r="E121">
        <f t="shared" si="34"/>
        <v>0.10526315789473684</v>
      </c>
      <c r="F121">
        <f t="shared" si="34"/>
        <v>0.15789473684210525</v>
      </c>
      <c r="G121">
        <f t="shared" si="34"/>
        <v>0.26315789473684209</v>
      </c>
      <c r="H121">
        <f t="shared" si="34"/>
        <v>0.10526315789473684</v>
      </c>
      <c r="I121">
        <f t="shared" si="34"/>
        <v>0.10526315789473684</v>
      </c>
    </row>
    <row r="124" spans="2:26" x14ac:dyDescent="0.25">
      <c r="B124">
        <f>B85/$B$94</f>
        <v>0.20833333333333334</v>
      </c>
      <c r="C124">
        <f t="shared" ref="C124:I124" si="35">C85/$B$94</f>
        <v>4.1666666666666664E-2</v>
      </c>
      <c r="D124">
        <f t="shared" si="35"/>
        <v>0</v>
      </c>
      <c r="E124">
        <f t="shared" si="35"/>
        <v>8.3333333333333329E-2</v>
      </c>
      <c r="F124">
        <f t="shared" si="35"/>
        <v>4.1666666666666664E-2</v>
      </c>
      <c r="G124">
        <f t="shared" si="35"/>
        <v>0</v>
      </c>
      <c r="H124">
        <f t="shared" si="35"/>
        <v>0.16666666666666666</v>
      </c>
      <c r="I124">
        <f t="shared" si="35"/>
        <v>4.1666666666666664E-2</v>
      </c>
    </row>
    <row r="125" spans="2:26" x14ac:dyDescent="0.25">
      <c r="B125">
        <f t="shared" ref="B125:I131" si="36">B86/$B$94</f>
        <v>0.16666666666666666</v>
      </c>
      <c r="C125">
        <f t="shared" si="36"/>
        <v>0.29166666666666669</v>
      </c>
      <c r="D125">
        <f t="shared" si="36"/>
        <v>0.20833333333333334</v>
      </c>
      <c r="E125">
        <f t="shared" si="36"/>
        <v>0.375</v>
      </c>
      <c r="F125">
        <f t="shared" si="36"/>
        <v>0.20833333333333334</v>
      </c>
      <c r="G125">
        <f t="shared" si="36"/>
        <v>0.29166666666666669</v>
      </c>
      <c r="H125">
        <f t="shared" si="36"/>
        <v>0.33333333333333331</v>
      </c>
      <c r="I125">
        <f t="shared" si="36"/>
        <v>8.3333333333333329E-2</v>
      </c>
    </row>
    <row r="126" spans="2:26" x14ac:dyDescent="0.25">
      <c r="B126">
        <f t="shared" si="36"/>
        <v>0.45833333333333331</v>
      </c>
      <c r="C126">
        <f t="shared" si="36"/>
        <v>0.25</v>
      </c>
      <c r="D126">
        <f t="shared" si="36"/>
        <v>0.29166666666666669</v>
      </c>
      <c r="E126">
        <f t="shared" si="36"/>
        <v>0.16666666666666666</v>
      </c>
      <c r="F126">
        <f t="shared" si="36"/>
        <v>0.29166666666666669</v>
      </c>
      <c r="G126">
        <f t="shared" si="36"/>
        <v>0.41666666666666669</v>
      </c>
      <c r="H126">
        <f t="shared" si="36"/>
        <v>0.375</v>
      </c>
      <c r="I126">
        <f t="shared" si="36"/>
        <v>0.375</v>
      </c>
    </row>
    <row r="127" spans="2:26" x14ac:dyDescent="0.25">
      <c r="B127">
        <f t="shared" si="36"/>
        <v>8.3333333333333329E-2</v>
      </c>
      <c r="C127">
        <f t="shared" si="36"/>
        <v>0.16666666666666666</v>
      </c>
      <c r="D127">
        <f t="shared" si="36"/>
        <v>0.25</v>
      </c>
      <c r="E127">
        <f t="shared" si="36"/>
        <v>0.16666666666666666</v>
      </c>
      <c r="F127">
        <f t="shared" si="36"/>
        <v>0.125</v>
      </c>
      <c r="G127">
        <f t="shared" si="36"/>
        <v>0.125</v>
      </c>
      <c r="H127">
        <f t="shared" si="36"/>
        <v>4.1666666666666664E-2</v>
      </c>
      <c r="I127">
        <f t="shared" si="36"/>
        <v>0.125</v>
      </c>
    </row>
    <row r="128" spans="2:26" x14ac:dyDescent="0.25">
      <c r="B128">
        <f t="shared" si="36"/>
        <v>4.1666666666666664E-2</v>
      </c>
      <c r="C128">
        <f t="shared" si="36"/>
        <v>0.125</v>
      </c>
      <c r="D128">
        <f t="shared" si="36"/>
        <v>8.3333333333333329E-2</v>
      </c>
      <c r="E128">
        <f t="shared" si="36"/>
        <v>8.3333333333333329E-2</v>
      </c>
      <c r="F128">
        <f t="shared" si="36"/>
        <v>0.125</v>
      </c>
      <c r="G128">
        <f t="shared" si="36"/>
        <v>8.3333333333333329E-2</v>
      </c>
      <c r="H128">
        <f t="shared" si="36"/>
        <v>4.1666666666666664E-2</v>
      </c>
      <c r="I128">
        <f t="shared" si="36"/>
        <v>0.125</v>
      </c>
    </row>
    <row r="129" spans="2:26" x14ac:dyDescent="0.25">
      <c r="B129">
        <f t="shared" si="36"/>
        <v>0</v>
      </c>
      <c r="C129">
        <f t="shared" si="36"/>
        <v>8.3333333333333329E-2</v>
      </c>
      <c r="D129">
        <f t="shared" si="36"/>
        <v>0.125</v>
      </c>
      <c r="E129">
        <f t="shared" si="36"/>
        <v>8.3333333333333329E-2</v>
      </c>
      <c r="F129">
        <f t="shared" si="36"/>
        <v>0.125</v>
      </c>
      <c r="G129">
        <f t="shared" si="36"/>
        <v>4.1666666666666664E-2</v>
      </c>
      <c r="H129">
        <f t="shared" si="36"/>
        <v>0</v>
      </c>
      <c r="I129">
        <f t="shared" si="36"/>
        <v>8.3333333333333329E-2</v>
      </c>
    </row>
    <row r="130" spans="2:26" x14ac:dyDescent="0.25">
      <c r="B130">
        <f t="shared" si="36"/>
        <v>0</v>
      </c>
      <c r="C130">
        <f t="shared" si="36"/>
        <v>0</v>
      </c>
      <c r="D130">
        <f t="shared" si="36"/>
        <v>0</v>
      </c>
      <c r="E130">
        <f t="shared" si="36"/>
        <v>0</v>
      </c>
      <c r="F130">
        <f t="shared" si="36"/>
        <v>0</v>
      </c>
      <c r="G130">
        <f t="shared" si="36"/>
        <v>0</v>
      </c>
      <c r="H130">
        <f t="shared" si="36"/>
        <v>0</v>
      </c>
      <c r="I130">
        <f t="shared" si="36"/>
        <v>4.1666666666666664E-2</v>
      </c>
    </row>
    <row r="131" spans="2:26" x14ac:dyDescent="0.25">
      <c r="B131">
        <f t="shared" si="36"/>
        <v>4.1666666666666664E-2</v>
      </c>
      <c r="C131">
        <f t="shared" si="36"/>
        <v>4.1666666666666664E-2</v>
      </c>
      <c r="D131">
        <f t="shared" si="36"/>
        <v>4.1666666666666664E-2</v>
      </c>
      <c r="E131">
        <f t="shared" si="36"/>
        <v>4.1666666666666664E-2</v>
      </c>
      <c r="F131">
        <f t="shared" si="36"/>
        <v>8.3333333333333329E-2</v>
      </c>
      <c r="G131">
        <f t="shared" si="36"/>
        <v>4.1666666666666664E-2</v>
      </c>
      <c r="H131">
        <f t="shared" si="36"/>
        <v>4.1666666666666664E-2</v>
      </c>
      <c r="I131">
        <f t="shared" si="36"/>
        <v>0.125</v>
      </c>
      <c r="U131" t="s">
        <v>110</v>
      </c>
    </row>
    <row r="132" spans="2:26" x14ac:dyDescent="0.25">
      <c r="V132" t="s">
        <v>27</v>
      </c>
      <c r="W132" t="s">
        <v>28</v>
      </c>
      <c r="X132" t="s">
        <v>29</v>
      </c>
      <c r="Y132" t="s">
        <v>30</v>
      </c>
      <c r="Z132" t="s">
        <v>31</v>
      </c>
    </row>
    <row r="133" spans="2:26" x14ac:dyDescent="0.25">
      <c r="U133" t="s">
        <v>102</v>
      </c>
      <c r="V133">
        <v>0</v>
      </c>
      <c r="W133">
        <v>1</v>
      </c>
      <c r="X133">
        <v>6</v>
      </c>
      <c r="Y133">
        <v>3</v>
      </c>
      <c r="Z133">
        <v>4</v>
      </c>
    </row>
    <row r="134" spans="2:26" x14ac:dyDescent="0.25">
      <c r="U134" t="s">
        <v>90</v>
      </c>
      <c r="V134">
        <v>1</v>
      </c>
      <c r="W134">
        <v>2</v>
      </c>
      <c r="X134">
        <v>8</v>
      </c>
      <c r="Y134">
        <v>8</v>
      </c>
      <c r="Z134">
        <v>4</v>
      </c>
    </row>
    <row r="135" spans="2:26" x14ac:dyDescent="0.25">
      <c r="U135" t="s">
        <v>89</v>
      </c>
      <c r="V135">
        <v>5</v>
      </c>
      <c r="W135">
        <v>3</v>
      </c>
      <c r="X135">
        <v>3</v>
      </c>
      <c r="Y135">
        <v>5</v>
      </c>
      <c r="Z135">
        <v>7</v>
      </c>
    </row>
    <row r="136" spans="2:26" x14ac:dyDescent="0.25">
      <c r="U136" t="s">
        <v>88</v>
      </c>
      <c r="V136">
        <v>9</v>
      </c>
      <c r="W136">
        <v>6</v>
      </c>
      <c r="X136">
        <v>3</v>
      </c>
      <c r="Y136">
        <v>4</v>
      </c>
      <c r="Z136">
        <v>5</v>
      </c>
    </row>
    <row r="137" spans="2:26" x14ac:dyDescent="0.25">
      <c r="U137" t="s">
        <v>103</v>
      </c>
      <c r="V137">
        <v>4</v>
      </c>
      <c r="W137">
        <v>3</v>
      </c>
      <c r="X137">
        <v>2</v>
      </c>
      <c r="Y137">
        <v>0</v>
      </c>
      <c r="Z137">
        <v>0</v>
      </c>
    </row>
    <row r="138" spans="2:26" x14ac:dyDescent="0.25">
      <c r="U138" t="s">
        <v>104</v>
      </c>
      <c r="V138">
        <v>1</v>
      </c>
      <c r="W138">
        <v>2</v>
      </c>
      <c r="X138">
        <v>0</v>
      </c>
      <c r="Y138">
        <v>1</v>
      </c>
      <c r="Z138">
        <v>0</v>
      </c>
    </row>
    <row r="139" spans="2:26" x14ac:dyDescent="0.25">
      <c r="U139" t="s">
        <v>105</v>
      </c>
      <c r="V139">
        <v>1</v>
      </c>
      <c r="W139">
        <v>2</v>
      </c>
      <c r="X139">
        <v>0</v>
      </c>
      <c r="Y139">
        <v>0</v>
      </c>
      <c r="Z139">
        <v>1</v>
      </c>
    </row>
    <row r="140" spans="2:26" x14ac:dyDescent="0.25">
      <c r="U140" t="s">
        <v>107</v>
      </c>
      <c r="V140">
        <v>4</v>
      </c>
      <c r="W140">
        <v>5</v>
      </c>
      <c r="X140">
        <v>2</v>
      </c>
      <c r="Y140">
        <v>3</v>
      </c>
      <c r="Z140">
        <v>3</v>
      </c>
    </row>
    <row r="142" spans="2:26" x14ac:dyDescent="0.25">
      <c r="U142" t="s">
        <v>81</v>
      </c>
      <c r="V142">
        <f>SUM(V135:V141)</f>
        <v>24</v>
      </c>
      <c r="W142">
        <f t="shared" ref="W142" si="37">SUM(W133:W141)</f>
        <v>24</v>
      </c>
      <c r="X142">
        <f t="shared" ref="X142" si="38">SUM(X133:X141)</f>
        <v>24</v>
      </c>
      <c r="Y142">
        <f t="shared" ref="Y142" si="39">SUM(Y133:Y141)</f>
        <v>24</v>
      </c>
      <c r="Z142">
        <f t="shared" ref="Z142" si="40">SUM(Z133:Z141)</f>
        <v>24</v>
      </c>
    </row>
    <row r="145" spans="21:26" x14ac:dyDescent="0.25">
      <c r="U145" t="s">
        <v>99</v>
      </c>
    </row>
    <row r="146" spans="21:26" x14ac:dyDescent="0.25">
      <c r="V146" t="s">
        <v>27</v>
      </c>
      <c r="W146" t="s">
        <v>28</v>
      </c>
      <c r="X146" t="s">
        <v>29</v>
      </c>
      <c r="Y146" t="s">
        <v>30</v>
      </c>
      <c r="Z146" t="s">
        <v>31</v>
      </c>
    </row>
    <row r="147" spans="21:26" x14ac:dyDescent="0.25">
      <c r="U147" t="s">
        <v>102</v>
      </c>
      <c r="V147">
        <v>0</v>
      </c>
      <c r="W147">
        <v>0</v>
      </c>
      <c r="X147">
        <v>2</v>
      </c>
      <c r="Y147">
        <v>0</v>
      </c>
      <c r="Z147">
        <v>2</v>
      </c>
    </row>
    <row r="148" spans="21:26" x14ac:dyDescent="0.25">
      <c r="U148" t="s">
        <v>90</v>
      </c>
      <c r="V148">
        <v>1</v>
      </c>
      <c r="W148">
        <v>3</v>
      </c>
      <c r="X148">
        <v>11</v>
      </c>
      <c r="Y148">
        <v>15</v>
      </c>
      <c r="Z148">
        <v>21</v>
      </c>
    </row>
    <row r="149" spans="21:26" x14ac:dyDescent="0.25">
      <c r="U149" t="s">
        <v>89</v>
      </c>
      <c r="V149">
        <v>12</v>
      </c>
      <c r="W149">
        <v>10</v>
      </c>
      <c r="X149">
        <v>26</v>
      </c>
      <c r="Y149">
        <v>21</v>
      </c>
      <c r="Z149">
        <v>16</v>
      </c>
    </row>
    <row r="150" spans="21:26" x14ac:dyDescent="0.25">
      <c r="U150" t="s">
        <v>88</v>
      </c>
      <c r="V150">
        <v>17</v>
      </c>
      <c r="W150">
        <v>17</v>
      </c>
      <c r="X150">
        <v>6</v>
      </c>
      <c r="Y150">
        <v>7</v>
      </c>
      <c r="Z150">
        <v>7</v>
      </c>
    </row>
    <row r="151" spans="21:26" x14ac:dyDescent="0.25">
      <c r="U151" t="s">
        <v>103</v>
      </c>
      <c r="V151">
        <v>4</v>
      </c>
      <c r="W151">
        <v>4</v>
      </c>
      <c r="X151">
        <v>4</v>
      </c>
      <c r="Y151">
        <v>3</v>
      </c>
      <c r="Z151">
        <v>2</v>
      </c>
    </row>
    <row r="152" spans="21:26" x14ac:dyDescent="0.25">
      <c r="U152" t="s">
        <v>104</v>
      </c>
      <c r="V152">
        <v>3</v>
      </c>
      <c r="W152">
        <v>4</v>
      </c>
      <c r="X152">
        <v>2</v>
      </c>
      <c r="Y152">
        <v>3</v>
      </c>
      <c r="Z152">
        <v>2</v>
      </c>
    </row>
    <row r="153" spans="21:26" x14ac:dyDescent="0.25">
      <c r="U153" t="s">
        <v>105</v>
      </c>
      <c r="V153">
        <v>3</v>
      </c>
      <c r="W153">
        <v>3</v>
      </c>
      <c r="X153">
        <v>2</v>
      </c>
      <c r="Y153">
        <v>0</v>
      </c>
      <c r="Z153">
        <v>1</v>
      </c>
    </row>
    <row r="154" spans="21:26" x14ac:dyDescent="0.25">
      <c r="U154" t="s">
        <v>107</v>
      </c>
      <c r="V154">
        <v>16</v>
      </c>
      <c r="W154">
        <v>15</v>
      </c>
      <c r="X154">
        <v>3</v>
      </c>
      <c r="Y154">
        <v>7</v>
      </c>
      <c r="Z154">
        <v>5</v>
      </c>
    </row>
    <row r="156" spans="21:26" x14ac:dyDescent="0.25">
      <c r="U156" t="s">
        <v>81</v>
      </c>
      <c r="V156">
        <f>SUM(V147:V155)</f>
        <v>56</v>
      </c>
      <c r="W156">
        <f t="shared" ref="W156" si="41">SUM(W147:W155)</f>
        <v>56</v>
      </c>
      <c r="X156">
        <f t="shared" ref="X156" si="42">SUM(X147:X155)</f>
        <v>56</v>
      </c>
      <c r="Y156">
        <f t="shared" ref="Y156" si="43">SUM(Y147:Y155)</f>
        <v>56</v>
      </c>
      <c r="Z156">
        <f t="shared" ref="Z156" si="44">SUM(Z147:Z155)</f>
        <v>56</v>
      </c>
    </row>
    <row r="160" spans="21:26" x14ac:dyDescent="0.25">
      <c r="V160">
        <f>V104/$V$113</f>
        <v>0</v>
      </c>
      <c r="W160">
        <f t="shared" ref="W160:Z160" si="45">W104/$V$113</f>
        <v>0</v>
      </c>
      <c r="X160">
        <f t="shared" si="45"/>
        <v>5.2631578947368418E-2</v>
      </c>
      <c r="Y160">
        <f t="shared" si="45"/>
        <v>0</v>
      </c>
      <c r="Z160">
        <f t="shared" si="45"/>
        <v>5.2631578947368418E-2</v>
      </c>
    </row>
    <row r="161" spans="22:26" x14ac:dyDescent="0.25">
      <c r="V161">
        <f t="shared" ref="V161:Z167" si="46">V105/$V$113</f>
        <v>0</v>
      </c>
      <c r="W161">
        <f t="shared" si="46"/>
        <v>0.31578947368421051</v>
      </c>
      <c r="X161">
        <f t="shared" si="46"/>
        <v>0.31578947368421051</v>
      </c>
      <c r="Y161">
        <f t="shared" si="46"/>
        <v>0.21052631578947367</v>
      </c>
      <c r="Z161">
        <f t="shared" si="46"/>
        <v>0.42105263157894735</v>
      </c>
    </row>
    <row r="162" spans="22:26" x14ac:dyDescent="0.25">
      <c r="V162">
        <f t="shared" si="46"/>
        <v>0.10526315789473684</v>
      </c>
      <c r="W162">
        <f t="shared" si="46"/>
        <v>0.31578947368421051</v>
      </c>
      <c r="X162">
        <f t="shared" si="46"/>
        <v>0.52631578947368418</v>
      </c>
      <c r="Y162">
        <f t="shared" si="46"/>
        <v>0.63157894736842102</v>
      </c>
      <c r="Z162">
        <f t="shared" si="46"/>
        <v>0.47368421052631576</v>
      </c>
    </row>
    <row r="163" spans="22:26" x14ac:dyDescent="0.25">
      <c r="V163">
        <f t="shared" si="46"/>
        <v>0.26315789473684209</v>
      </c>
      <c r="W163">
        <f t="shared" si="46"/>
        <v>0.10526315789473684</v>
      </c>
      <c r="X163">
        <f t="shared" si="46"/>
        <v>5.2631578947368418E-2</v>
      </c>
      <c r="Y163">
        <f t="shared" si="46"/>
        <v>0.10526315789473684</v>
      </c>
      <c r="Z163">
        <f t="shared" si="46"/>
        <v>0</v>
      </c>
    </row>
    <row r="164" spans="22:26" x14ac:dyDescent="0.25">
      <c r="V164">
        <f t="shared" si="46"/>
        <v>0.21052631578947367</v>
      </c>
      <c r="W164">
        <f t="shared" si="46"/>
        <v>5.2631578947368418E-2</v>
      </c>
      <c r="X164">
        <f t="shared" si="46"/>
        <v>0</v>
      </c>
      <c r="Y164">
        <f t="shared" si="46"/>
        <v>0</v>
      </c>
      <c r="Z164">
        <f t="shared" si="46"/>
        <v>0</v>
      </c>
    </row>
    <row r="165" spans="22:26" x14ac:dyDescent="0.25">
      <c r="V165">
        <f t="shared" si="46"/>
        <v>0.10526315789473684</v>
      </c>
      <c r="W165">
        <f t="shared" si="46"/>
        <v>0.10526315789473684</v>
      </c>
      <c r="X165">
        <f t="shared" si="46"/>
        <v>0</v>
      </c>
      <c r="Y165">
        <f t="shared" si="46"/>
        <v>0</v>
      </c>
      <c r="Z165">
        <f t="shared" si="46"/>
        <v>0</v>
      </c>
    </row>
    <row r="166" spans="22:26" x14ac:dyDescent="0.25">
      <c r="V166">
        <f t="shared" si="46"/>
        <v>0</v>
      </c>
      <c r="W166">
        <f t="shared" si="46"/>
        <v>0</v>
      </c>
      <c r="X166">
        <f t="shared" si="46"/>
        <v>0</v>
      </c>
      <c r="Y166">
        <f t="shared" si="46"/>
        <v>5.2631578947368418E-2</v>
      </c>
      <c r="Z166">
        <f t="shared" si="46"/>
        <v>0</v>
      </c>
    </row>
    <row r="167" spans="22:26" x14ac:dyDescent="0.25">
      <c r="V167">
        <f t="shared" si="46"/>
        <v>0.31578947368421051</v>
      </c>
      <c r="W167">
        <f t="shared" si="46"/>
        <v>0.10526315789473684</v>
      </c>
      <c r="X167">
        <f t="shared" si="46"/>
        <v>5.2631578947368418E-2</v>
      </c>
      <c r="Y167">
        <f t="shared" si="46"/>
        <v>0</v>
      </c>
      <c r="Z167">
        <f t="shared" si="46"/>
        <v>5.2631578947368418E-2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44E7-3F36-427F-9433-85C7EEB4209E}">
  <dimension ref="A3:S10"/>
  <sheetViews>
    <sheetView workbookViewId="0">
      <selection activeCell="T10" sqref="T10"/>
    </sheetView>
  </sheetViews>
  <sheetFormatPr defaultRowHeight="15" x14ac:dyDescent="0.25"/>
  <cols>
    <col min="2" max="2" width="11.5703125" customWidth="1"/>
    <col min="8" max="8" width="12" customWidth="1"/>
    <col min="12" max="12" width="11.5703125" customWidth="1"/>
    <col min="17" max="17" width="11.5703125" customWidth="1"/>
  </cols>
  <sheetData>
    <row r="3" spans="1:19" x14ac:dyDescent="0.25">
      <c r="A3" t="s">
        <v>112</v>
      </c>
      <c r="G3" t="s">
        <v>115</v>
      </c>
      <c r="K3" t="s">
        <v>116</v>
      </c>
      <c r="P3" t="s">
        <v>117</v>
      </c>
    </row>
    <row r="4" spans="1:19" x14ac:dyDescent="0.25">
      <c r="B4" t="s">
        <v>113</v>
      </c>
      <c r="C4" t="s">
        <v>114</v>
      </c>
      <c r="H4" t="s">
        <v>113</v>
      </c>
      <c r="I4" t="s">
        <v>114</v>
      </c>
      <c r="L4" t="s">
        <v>113</v>
      </c>
      <c r="M4" t="s">
        <v>114</v>
      </c>
      <c r="N4" t="s">
        <v>81</v>
      </c>
      <c r="Q4" t="s">
        <v>113</v>
      </c>
      <c r="R4" t="s">
        <v>114</v>
      </c>
      <c r="S4" t="s">
        <v>81</v>
      </c>
    </row>
    <row r="5" spans="1:19" x14ac:dyDescent="0.25">
      <c r="A5">
        <v>1</v>
      </c>
      <c r="B5">
        <v>2</v>
      </c>
      <c r="C5">
        <v>0</v>
      </c>
      <c r="D5">
        <f>SUM(B5:C5)</f>
        <v>2</v>
      </c>
      <c r="G5">
        <v>1</v>
      </c>
      <c r="H5">
        <f>(D5/$D$10)*(B10/$D$10)</f>
        <v>6.7555555555555563E-3</v>
      </c>
      <c r="I5">
        <f>(D5/D10)*(C10/D10)</f>
        <v>1.9911111111111112E-2</v>
      </c>
      <c r="K5">
        <v>1</v>
      </c>
      <c r="L5">
        <f>H5*$D$10</f>
        <v>0.50666666666666671</v>
      </c>
      <c r="M5">
        <f>I5*$D$10</f>
        <v>1.4933333333333334</v>
      </c>
      <c r="N5">
        <f>L5+M5</f>
        <v>2</v>
      </c>
      <c r="P5">
        <v>1</v>
      </c>
      <c r="Q5">
        <f>((B5-L5)^2)/L5</f>
        <v>4.4014035087719279</v>
      </c>
      <c r="R5">
        <f>((C5-M5)^2)/M5</f>
        <v>1.4933333333333334</v>
      </c>
    </row>
    <row r="6" spans="1:19" x14ac:dyDescent="0.25">
      <c r="A6">
        <v>2</v>
      </c>
      <c r="B6">
        <v>2</v>
      </c>
      <c r="C6">
        <v>16</v>
      </c>
      <c r="D6">
        <f t="shared" ref="D6:D9" si="0">SUM(B6:C6)</f>
        <v>18</v>
      </c>
      <c r="G6">
        <v>2</v>
      </c>
      <c r="H6">
        <f>(D6/D10)*(B10/D10)</f>
        <v>6.08E-2</v>
      </c>
      <c r="I6">
        <f>(D6/D10)*(C10/D10)</f>
        <v>0.1792</v>
      </c>
      <c r="K6">
        <v>2</v>
      </c>
      <c r="L6">
        <f t="shared" ref="L6:L9" si="1">H6*$D$10</f>
        <v>4.5599999999999996</v>
      </c>
      <c r="M6">
        <f t="shared" ref="M6:M9" si="2">I6*$D$10</f>
        <v>13.44</v>
      </c>
      <c r="N6">
        <f t="shared" ref="N6:N9" si="3">L6+M6</f>
        <v>18</v>
      </c>
      <c r="P6">
        <v>2</v>
      </c>
      <c r="Q6">
        <f t="shared" ref="Q6:Q9" si="4">((B6-L6)^2)/L6</f>
        <v>1.43719298245614</v>
      </c>
      <c r="R6">
        <f t="shared" ref="R6:R9" si="5">((C6-M6)^2)/M6</f>
        <v>0.48761904761904784</v>
      </c>
    </row>
    <row r="7" spans="1:19" x14ac:dyDescent="0.25">
      <c r="A7">
        <v>3</v>
      </c>
      <c r="B7">
        <v>8</v>
      </c>
      <c r="C7">
        <v>22</v>
      </c>
      <c r="D7">
        <f t="shared" si="0"/>
        <v>30</v>
      </c>
      <c r="G7">
        <v>3</v>
      </c>
      <c r="H7">
        <f>(D7/D10)*(B10/D10)</f>
        <v>0.10133333333333334</v>
      </c>
      <c r="I7">
        <f>(D7/D10)*(C10/D10)</f>
        <v>0.29866666666666669</v>
      </c>
      <c r="K7">
        <v>3</v>
      </c>
      <c r="L7">
        <f t="shared" si="1"/>
        <v>7.6000000000000005</v>
      </c>
      <c r="M7">
        <f t="shared" si="2"/>
        <v>22.400000000000002</v>
      </c>
      <c r="N7">
        <f t="shared" si="3"/>
        <v>30.000000000000004</v>
      </c>
      <c r="P7">
        <v>3</v>
      </c>
      <c r="Q7">
        <f t="shared" si="4"/>
        <v>2.1052631578947312E-2</v>
      </c>
      <c r="R7">
        <f t="shared" si="5"/>
        <v>7.1428571428572181E-3</v>
      </c>
    </row>
    <row r="8" spans="1:19" x14ac:dyDescent="0.25">
      <c r="A8">
        <v>4</v>
      </c>
      <c r="B8">
        <v>6</v>
      </c>
      <c r="C8">
        <v>18</v>
      </c>
      <c r="D8">
        <f t="shared" si="0"/>
        <v>24</v>
      </c>
      <c r="G8">
        <v>4</v>
      </c>
      <c r="H8">
        <f>(D8/D10)*(B10/D10)</f>
        <v>8.1066666666666676E-2</v>
      </c>
      <c r="I8">
        <f>(D8/D10)*(C10/D10)</f>
        <v>0.23893333333333336</v>
      </c>
      <c r="K8">
        <v>4</v>
      </c>
      <c r="L8">
        <f t="shared" si="1"/>
        <v>6.080000000000001</v>
      </c>
      <c r="M8">
        <f t="shared" si="2"/>
        <v>17.920000000000002</v>
      </c>
      <c r="N8">
        <f t="shared" si="3"/>
        <v>24.000000000000004</v>
      </c>
      <c r="P8">
        <v>4</v>
      </c>
      <c r="Q8">
        <f t="shared" si="4"/>
        <v>1.0526315789473936E-3</v>
      </c>
      <c r="R8">
        <f t="shared" si="5"/>
        <v>3.5714285714284186E-4</v>
      </c>
    </row>
    <row r="9" spans="1:19" x14ac:dyDescent="0.25">
      <c r="A9">
        <v>5</v>
      </c>
      <c r="B9">
        <v>1</v>
      </c>
      <c r="C9">
        <v>0</v>
      </c>
      <c r="D9">
        <f t="shared" si="0"/>
        <v>1</v>
      </c>
      <c r="G9">
        <v>5</v>
      </c>
      <c r="H9">
        <f>(D9/D10)*(B10/D10)</f>
        <v>3.3777777777777782E-3</v>
      </c>
      <c r="I9">
        <f>(D9/D10)*(C10/D10)</f>
        <v>9.955555555555556E-3</v>
      </c>
      <c r="K9">
        <v>5</v>
      </c>
      <c r="L9">
        <f t="shared" si="1"/>
        <v>0.25333333333333335</v>
      </c>
      <c r="M9">
        <f t="shared" si="2"/>
        <v>0.7466666666666667</v>
      </c>
      <c r="N9">
        <f t="shared" si="3"/>
        <v>1</v>
      </c>
      <c r="P9">
        <v>5</v>
      </c>
      <c r="Q9">
        <f t="shared" si="4"/>
        <v>2.2007017543859639</v>
      </c>
      <c r="R9">
        <f t="shared" si="5"/>
        <v>0.7466666666666667</v>
      </c>
    </row>
    <row r="10" spans="1:19" x14ac:dyDescent="0.25">
      <c r="A10" t="s">
        <v>81</v>
      </c>
      <c r="B10">
        <f>SUM(B5:B9)</f>
        <v>19</v>
      </c>
      <c r="C10">
        <f>SUM(C5:C9)</f>
        <v>56</v>
      </c>
      <c r="D10">
        <f>SUM(D5:D9)</f>
        <v>75</v>
      </c>
      <c r="K10" t="s">
        <v>81</v>
      </c>
      <c r="L10">
        <f>SUM(L5:L9)</f>
        <v>19.000000000000004</v>
      </c>
      <c r="M10">
        <f>SUM(M5:M9)</f>
        <v>56.000000000000007</v>
      </c>
      <c r="P10" t="s">
        <v>81</v>
      </c>
      <c r="Q10">
        <f>SUM(Q5:Q9)</f>
        <v>8.0614035087719262</v>
      </c>
      <c r="R10">
        <f>SUM(R5:R9)</f>
        <v>2.7351190476190479</v>
      </c>
      <c r="S10">
        <f>Q10+R10</f>
        <v>10.796522556390974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FEB8-C8C8-4105-8B81-4E5BAF4A0B06}">
  <dimension ref="A1:N10"/>
  <sheetViews>
    <sheetView workbookViewId="0">
      <selection activeCell="N11" sqref="N11"/>
    </sheetView>
  </sheetViews>
  <sheetFormatPr defaultRowHeight="15" x14ac:dyDescent="0.25"/>
  <sheetData>
    <row r="1" spans="1:14" x14ac:dyDescent="0.25">
      <c r="A1" t="s">
        <v>50</v>
      </c>
      <c r="C1" t="s">
        <v>69</v>
      </c>
      <c r="F1" t="s">
        <v>70</v>
      </c>
      <c r="J1" t="s">
        <v>71</v>
      </c>
      <c r="M1" t="s">
        <v>72</v>
      </c>
    </row>
    <row r="2" spans="1:14" x14ac:dyDescent="0.25">
      <c r="A2">
        <v>1</v>
      </c>
      <c r="B2" t="s">
        <v>68</v>
      </c>
      <c r="C2">
        <v>1</v>
      </c>
      <c r="D2" t="s">
        <v>10</v>
      </c>
      <c r="F2">
        <v>1</v>
      </c>
      <c r="G2" t="s">
        <v>51</v>
      </c>
      <c r="J2">
        <v>1</v>
      </c>
      <c r="K2" t="s">
        <v>52</v>
      </c>
      <c r="M2">
        <v>1</v>
      </c>
      <c r="N2" t="s">
        <v>52</v>
      </c>
    </row>
    <row r="3" spans="1:14" x14ac:dyDescent="0.25">
      <c r="A3">
        <v>2</v>
      </c>
      <c r="B3" t="s">
        <v>67</v>
      </c>
      <c r="C3">
        <v>2</v>
      </c>
      <c r="D3" t="s">
        <v>11</v>
      </c>
      <c r="F3">
        <v>2</v>
      </c>
      <c r="G3" t="s">
        <v>53</v>
      </c>
      <c r="J3">
        <v>2</v>
      </c>
      <c r="K3" t="s">
        <v>54</v>
      </c>
      <c r="M3">
        <v>2</v>
      </c>
      <c r="N3" t="s">
        <v>54</v>
      </c>
    </row>
    <row r="4" spans="1:14" x14ac:dyDescent="0.25">
      <c r="A4">
        <v>3</v>
      </c>
      <c r="B4" t="s">
        <v>66</v>
      </c>
      <c r="C4">
        <v>3</v>
      </c>
      <c r="D4" t="s">
        <v>55</v>
      </c>
      <c r="F4">
        <v>3</v>
      </c>
      <c r="G4" t="s">
        <v>56</v>
      </c>
      <c r="J4">
        <v>3</v>
      </c>
      <c r="K4" t="s">
        <v>57</v>
      </c>
      <c r="M4">
        <v>3</v>
      </c>
      <c r="N4" t="s">
        <v>57</v>
      </c>
    </row>
    <row r="5" spans="1:14" x14ac:dyDescent="0.25">
      <c r="C5">
        <v>4</v>
      </c>
      <c r="D5" t="s">
        <v>58</v>
      </c>
      <c r="F5">
        <v>4</v>
      </c>
      <c r="G5" t="s">
        <v>59</v>
      </c>
      <c r="J5">
        <v>4</v>
      </c>
      <c r="K5" t="s">
        <v>60</v>
      </c>
      <c r="M5">
        <v>4</v>
      </c>
      <c r="N5" t="s">
        <v>60</v>
      </c>
    </row>
    <row r="6" spans="1:14" x14ac:dyDescent="0.25">
      <c r="C6">
        <v>5</v>
      </c>
      <c r="D6" t="s">
        <v>61</v>
      </c>
      <c r="F6">
        <v>9996</v>
      </c>
      <c r="G6" t="s">
        <v>73</v>
      </c>
      <c r="J6">
        <v>5</v>
      </c>
      <c r="K6" t="s">
        <v>63</v>
      </c>
      <c r="M6">
        <v>5</v>
      </c>
      <c r="N6" t="s">
        <v>63</v>
      </c>
    </row>
    <row r="7" spans="1:14" x14ac:dyDescent="0.25">
      <c r="C7">
        <v>9996</v>
      </c>
      <c r="D7" t="s">
        <v>73</v>
      </c>
      <c r="F7">
        <v>9999</v>
      </c>
      <c r="J7">
        <v>6</v>
      </c>
      <c r="K7" t="s">
        <v>64</v>
      </c>
      <c r="M7">
        <v>6</v>
      </c>
      <c r="N7" t="s">
        <v>64</v>
      </c>
    </row>
    <row r="8" spans="1:14" x14ac:dyDescent="0.25">
      <c r="C8">
        <v>9999</v>
      </c>
      <c r="D8" t="s">
        <v>62</v>
      </c>
      <c r="J8">
        <v>7</v>
      </c>
      <c r="K8" t="s">
        <v>65</v>
      </c>
      <c r="M8">
        <v>7</v>
      </c>
      <c r="N8" t="s">
        <v>65</v>
      </c>
    </row>
    <row r="9" spans="1:14" x14ac:dyDescent="0.25">
      <c r="J9">
        <v>9996</v>
      </c>
      <c r="K9" t="s">
        <v>73</v>
      </c>
      <c r="M9">
        <v>9996</v>
      </c>
      <c r="N9" t="s">
        <v>73</v>
      </c>
    </row>
    <row r="10" spans="1:14" x14ac:dyDescent="0.25">
      <c r="J10">
        <v>9999</v>
      </c>
      <c r="K10" t="s">
        <v>74</v>
      </c>
      <c r="M10">
        <v>9999</v>
      </c>
      <c r="N1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figures</vt:lpstr>
      <vt:lpstr>Sheet1</vt:lpstr>
      <vt:lpstr>var_codes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Margrethe Aanesen</cp:lastModifiedBy>
  <dcterms:created xsi:type="dcterms:W3CDTF">2011-08-01T14:22:18Z</dcterms:created>
  <dcterms:modified xsi:type="dcterms:W3CDTF">2024-12-09T15:46:26Z</dcterms:modified>
</cp:coreProperties>
</file>